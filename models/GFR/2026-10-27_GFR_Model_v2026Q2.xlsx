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Model" sheetId="3" state="visible" r:id="rId5"/>
    <sheet name="Valuation" sheetId="4" state="visible" r:id="rId6"/>
    <sheet name="Sensitivity" sheetId="5" state="visible" r:id="rId7"/>
    <sheet name="Ratios" sheetId="6" state="visible" r:id="rId8"/>
    <sheet name="Comps" sheetId="7" state="visible" r:id="rId9"/>
    <sheet name="Checks" sheetId="8" state="visible" r:id="rId10"/>
    <sheet name="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<sst xmlns="http://schemas.openxmlformats.org/spreadsheetml/2006/main" count="351" uniqueCount="263">
  <si>
    <t xml:space="preserve">NORTHWALL RESEARCH</t>
  </si>
  <si>
    <t xml:space="preserve">Greenfire Resources Ltd. (GFR)</t>
  </si>
  <si>
    <t xml:space="preserve">Canadian oil sands · Analyst: Basel Al-Ghousein · Model version v2026Q2 · Built 2026-10-27</t>
  </si>
  <si>
    <t xml:space="preserve">Rating</t>
  </si>
  <si>
    <t xml:space="preserve">Price target (USD)</t>
  </si>
  <si>
    <t xml:space="preserve">Share price (USD), NYSE close Oct 26, 2026 (StockScan)</t>
  </si>
  <si>
    <t xml:space="preserve">Implied all-in return</t>
  </si>
  <si>
    <t xml:space="preserve">Valuation method 1</t>
  </si>
  <si>
    <t xml:space="preserve">Valuation method 2</t>
  </si>
  <si>
    <t xml:space="preserve">DCF cross-check per share</t>
  </si>
  <si>
    <t xml:space="preserve">Cost of equity (CAPM)</t>
  </si>
  <si>
    <t xml:space="preserve">Market-implied growth</t>
  </si>
  <si>
    <t xml:space="preserve">All integrity checks pass</t>
  </si>
  <si>
    <t xml:space="preserve">Colour code</t>
  </si>
  <si>
    <t xml:space="preserve">Blue: typed input with a source (Inputs sheet only)</t>
  </si>
  <si>
    <t xml:space="preserve">Black: formula</t>
  </si>
  <si>
    <t xml:space="preserve">Green: link to another sheet</t>
  </si>
  <si>
    <t xml:space="preserve">Yellow fill: key assumption or output</t>
  </si>
  <si>
    <t xml:space="preserve">Sheets</t>
  </si>
  <si>
    <t xml:space="preserve">Inputs</t>
  </si>
  <si>
    <t xml:space="preserve">Every typed number, with its source</t>
  </si>
  <si>
    <t xml:space="preserve">Model</t>
  </si>
  <si>
    <t xml:space="preserve">Operations and financials, H1 actual + H2 estimate</t>
  </si>
  <si>
    <t xml:space="preserve">Valuation</t>
  </si>
  <si>
    <t xml:space="preserve">Target methods, CAPM/WACC, DCF, reverse DCF, residual income, justified P/E</t>
  </si>
  <si>
    <t xml:space="preserve">NAV</t>
  </si>
  <si>
    <t xml:space="preserve">Asset-life cash flows (resource names)</t>
  </si>
  <si>
    <t xml:space="preserve">Sensitivity</t>
  </si>
  <si>
    <t xml:space="preserve">Target and DCF grids</t>
  </si>
  <si>
    <t xml:space="preserve">Ratios</t>
  </si>
  <si>
    <t xml:space="preserve">DuPont, cash conversion, leverage, payout</t>
  </si>
  <si>
    <t xml:space="preserve">Comps</t>
  </si>
  <si>
    <t xml:space="preserve">Peer table</t>
  </si>
  <si>
    <t xml:space="preserve">Checks</t>
  </si>
  <si>
    <t xml:space="preserve">Integrity checks; all must be TRUE</t>
  </si>
  <si>
    <t xml:space="preserve">Log</t>
  </si>
  <si>
    <t xml:space="preserve">Every change, dated, with its reason</t>
  </si>
  <si>
    <t xml:space="preserve">Greenfire Resources Ltd. (GFR) — Inputs</t>
  </si>
  <si>
    <t xml:space="preserve">Every typed number in the model lives here, in blue, with its source. Change inputs here only.</t>
  </si>
  <si>
    <t xml:space="preserve">House price deck (from data/price_deck.yaml)</t>
  </si>
  <si>
    <t xml:space="preserve">Input</t>
  </si>
  <si>
    <t xml:space="preserve">Unit</t>
  </si>
  <si>
    <t xml:space="preserve">2025A</t>
  </si>
  <si>
    <t xml:space="preserve">H1-26A</t>
  </si>
  <si>
    <t xml:space="preserve">H2-26E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</si>
  <si>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</si>
  <si>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</si>
  <si>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</si>
  <si>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</si>
  <si>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</si>
  <si>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</t>
  </si>
  <si>
    <t xml:space="preserve">WTI, house deck</t>
  </si>
  <si>
    <t xml:space="preserve">US$/bbl</t>
  </si>
  <si>
    <t xml:space="preserve">Northwall deck: Q3-26 ~88 and Q4-26 95 (avg 91.5); WTI ~US$101.8 on Oct 26, 2026 (DTN); normalizes to 70 as the Middle East premium fades</t>
  </si>
  <si>
    <t xml:space="preserve">Company drivers by period</t>
  </si>
  <si>
    <t xml:space="preserve">Bitumen production</t>
  </si>
  <si>
    <t xml:space="preserve">kbbl/d</t>
  </si>
  <si>
    <t xml:space="preserve">2025A: YE2025 release. 2026E: Northwall, inside 21.5-23.5k guidance incl. Connacher from Aug 5. 2027E+: Northwall; Pads 7, 5SE, 8 and Great Divide infill toward the ~65k long-term plan</t>
  </si>
  <si>
    <t xml:space="preserve">Adjusted funds flow, reported</t>
  </si>
  <si>
    <t xml:space="preserve">C$M</t>
  </si>
  <si>
    <t xml:space="preserve">YE2025 release</t>
  </si>
  <si>
    <t xml:space="preserve">Capital expenditures, reported</t>
  </si>
  <si>
    <t xml:space="preserve">Adjusted free cash flow, reported</t>
  </si>
  <si>
    <t xml:space="preserve">Interest</t>
  </si>
  <si>
    <t xml:space="preserve">Northwall: ~C$570M drawn at ~7.5-8%, falling with debt</t>
  </si>
  <si>
    <t xml:space="preserve">Capital expenditures</t>
  </si>
  <si>
    <t xml:space="preserve">Northwall: Connacher sustaining ~C$75M (company) + Hangingstone pads</t>
  </si>
  <si>
    <t xml:space="preserve">Basic shares</t>
  </si>
  <si>
    <t xml:space="preserve">M</t>
  </si>
  <si>
    <t xml:space="preserve">Rights offering closing (Sep 16, 2026): 240,413,692</t>
  </si>
  <si>
    <t xml:space="preserve">Net debt, Dec 31, 2026E</t>
  </si>
  <si>
    <t xml:space="preserve">Northwall: ~C$570M drawn (rights offering release) less ~C$40M Q4 free cash flow</t>
  </si>
  <si>
    <t xml:space="preserve">Scalar inputs: market data, operating assumptions, valuation parameters</t>
  </si>
  <si>
    <t xml:space="preserve">Value</t>
  </si>
  <si>
    <t xml:space="preserve">Share price</t>
  </si>
  <si>
    <t xml:space="preserve">NYSE close Oct 26, 2026 (StockScan)</t>
  </si>
  <si>
    <t xml:space="preserve">Model currency per listing currency</t>
  </si>
  <si>
    <t xml:space="preserve">USD/CAD 1.402 on Oct 27, 2026 (fxfeed.io)</t>
  </si>
  <si>
    <t xml:space="preserve">Basic shares outstanding</t>
  </si>
  <si>
    <t xml:space="preserve">Latest company filing</t>
  </si>
  <si>
    <t xml:space="preserve">Net debt at last balance sheet (negative = net cash)</t>
  </si>
  <si>
    <t xml:space="preserve">Latest quarterly filing</t>
  </si>
  <si>
    <t xml:space="preserve">Equity beta</t>
  </si>
  <si>
    <t xml:space="preserve">Northwall assumption pending sourcing</t>
  </si>
  <si>
    <t xml:space="preserve">Pre-tax cost of debt</t>
  </si>
  <si>
    <t xml:space="preserve">Northwall assumption: credit facility pricing</t>
  </si>
  <si>
    <t xml:space="preserve">Marginal tax rate</t>
  </si>
  <si>
    <t xml:space="preserve">Statutory combined rate</t>
  </si>
  <si>
    <t xml:space="preserve">Gross debt</t>
  </si>
  <si>
    <t xml:space="preserve">Weight on valuation method 1</t>
  </si>
  <si>
    <t xml:space="preserve">Northwall method: equal weight</t>
  </si>
  <si>
    <t xml:space="preserve">Target multiple, method 1</t>
  </si>
  <si>
    <t xml:space="preserve">Northwall: discount for a 72% controlling shareholder and thin float</t>
  </si>
  <si>
    <t xml:space="preserve">Target multiple, method 2</t>
  </si>
  <si>
    <t xml:space="preserve">Northwall: in line with Strathcona at ~5.0x annualized EV/CF</t>
  </si>
  <si>
    <t xml:space="preserve">Next-12-month dividend per share</t>
  </si>
  <si>
    <t xml:space="preserve">No dividend</t>
  </si>
  <si>
    <t xml:space="preserve">Target rounding increment</t>
  </si>
  <si>
    <t xml:space="preserve">House style</t>
  </si>
  <si>
    <t xml:space="preserve">Buy threshold: expected 12-month total return</t>
  </si>
  <si>
    <t xml:space="preserve">Northwall rating definitions</t>
  </si>
  <si>
    <t xml:space="preserve">Terminal growth for DCF cross-check (nominal)</t>
  </si>
  <si>
    <t xml:space="preserve">Northwall: 0% for depleting oil assets, 2% for long-life gold portfolios</t>
  </si>
  <si>
    <t xml:space="preserve">Investments not captured in FCFF</t>
  </si>
  <si>
    <t xml:space="preserve">Balance sheet</t>
  </si>
  <si>
    <t xml:space="preserve">EBITDA per bbl at US$70 WTI</t>
  </si>
  <si>
    <t xml:space="preserve">C$/bbl</t>
  </si>
  <si>
    <t xml:space="preserve">Company: ~1.2x debt / 2027E EBITDA at US$70 with ~C$570M drawn -&gt; ~C$475M / 40k bbl/d</t>
  </si>
  <si>
    <t xml:space="preserve">EBITDA sensitivity per US$1 WTI</t>
  </si>
  <si>
    <t xml:space="preserve">Northwall: 1.38 USD/CAD x ~85% after royalties</t>
  </si>
  <si>
    <t xml:space="preserve">WTI at the anchor</t>
  </si>
  <si>
    <t xml:space="preserve">Company guidance basis</t>
  </si>
  <si>
    <t xml:space="preserve">Greenfire 2P after-tax PV10, YE2025</t>
  </si>
  <si>
    <t xml:space="preserve">YE2025 reserves release</t>
  </si>
  <si>
    <t xml:space="preserve">Connacher 2P value</t>
  </si>
  <si>
    <t xml:space="preserve">Northwall estimate: 2P NAV10 before tax C$2,124M (acquisition release); no cash tax before 2030</t>
  </si>
  <si>
    <t xml:space="preserve">Current production</t>
  </si>
  <si>
    <t xml:space="preserve">bbl/d</t>
  </si>
  <si>
    <t xml:space="preserve">Company, pro forma Connacher (Q2-26 release)</t>
  </si>
  <si>
    <t xml:space="preserve">Risk-free rate (US 10-yr Treasury)</t>
  </si>
  <si>
    <t xml:space="preserve">%</t>
  </si>
  <si>
    <t xml:space="preserve">US 10-yr close 4.969% on Oct 26, 2026 (Mortgage News Daily)</t>
  </si>
  <si>
    <t xml:space="preserve">Equity risk premium</t>
  </si>
  <si>
    <t xml:space="preserve">Northwall assumption; within the 4-6% range of common historical and survey estimates (CFA L2 Return Concepts)</t>
  </si>
  <si>
    <t xml:space="preserve">Greenfire Resources Ltd. — Operating and financial model (CAD millions unless noted)</t>
  </si>
  <si>
    <t xml:space="preserve">H1-26A = reported six months; H2-26E = Northwall estimate; 2026E = H1 + H2. All cells are formulas.</t>
  </si>
  <si>
    <t xml:space="preserve">Line</t>
  </si>
  <si>
    <t xml:space="preserve">Method</t>
  </si>
  <si>
    <t xml:space="preserve">Production and pricing</t>
  </si>
  <si>
    <t xml:space="preserve">Adjusted EBITDA per barrel</t>
  </si>
  <si>
    <t xml:space="preserve">C$1.17/bbl per US$1 WTI after royalties, at 1.38 USD/CAD</t>
  </si>
  <si>
    <t xml:space="preserve">Cash flow</t>
  </si>
  <si>
    <t xml:space="preserve">Adjusted EBITDA</t>
  </si>
  <si>
    <t xml:space="preserve">Adjusted funds flow</t>
  </si>
  <si>
    <t xml:space="preserve">No cash taxes expected before 2030</t>
  </si>
  <si>
    <t xml:space="preserve">Adjusted funds flow per share</t>
  </si>
  <si>
    <t xml:space="preserve">C$</t>
  </si>
  <si>
    <t xml:space="preserve">Free cash flow</t>
  </si>
  <si>
    <t xml:space="preserve">Free cash flow to the firm</t>
  </si>
  <si>
    <t xml:space="preserve">Net debt, period end</t>
  </si>
  <si>
    <t xml:space="preserve">Opening net debt / EBITDA</t>
  </si>
  <si>
    <t xml:space="preserve">x</t>
  </si>
  <si>
    <t xml:space="preserve">Greenfire Resources Ltd. — Valuation and price target</t>
  </si>
  <si>
    <t xml:space="preserve">Target methods first; CFA Level II cross-checks (DCF, reverse DCF, residual income, justified P/E) follow.</t>
  </si>
  <si>
    <t xml:space="preserve">Market data</t>
  </si>
  <si>
    <t xml:space="preserve">Share price (USD)</t>
  </si>
  <si>
    <t xml:space="preserve">Share price in model currency (CAD)</t>
  </si>
  <si>
    <t xml:space="preserve">Converted when the listing currency differs from the reporting currency</t>
  </si>
  <si>
    <t xml:space="preserve">Basic shares outstanding (M)</t>
  </si>
  <si>
    <t xml:space="preserve">Market capitalization (M)</t>
  </si>
  <si>
    <t xml:space="preserve">Net debt (cash) at last balance sheet (M)</t>
  </si>
  <si>
    <t xml:space="preserve">Negative = net cash</t>
  </si>
  <si>
    <t xml:space="preserve">Enterprise value (M)</t>
  </si>
  <si>
    <t xml:space="preserve">Market cap + net debt</t>
  </si>
  <si>
    <t xml:space="preserve">Required return on equity (CAPM) and WACC — CFA L2 Equity: Return Concepts; Corporate Issuers: Cost of Capital</t>
  </si>
  <si>
    <t xml:space="preserve">Risk-free rate (US 10-yr)</t>
  </si>
  <si>
    <t xml:space="preserve">House deck</t>
  </si>
  <si>
    <t xml:space="preserve">Cost of equity: rf + beta x ERP</t>
  </si>
  <si>
    <t xml:space="preserve">CAPM</t>
  </si>
  <si>
    <t xml:space="preserve">Debt weight: D / (D + E), market values</t>
  </si>
  <si>
    <t xml:space="preserve">Gross debt at market cap</t>
  </si>
  <si>
    <t xml:space="preserve">WACC</t>
  </si>
  <si>
    <t xml:space="preserve">ke x E/V + kd x (1 - t) x D/V</t>
  </si>
  <si>
    <t xml:space="preserve">Target method 1: P/NAV (2P reserves) — method 2: EV/EBITDA</t>
  </si>
  <si>
    <t xml:space="preserve">Greenfire 2P after-tax PV10, YE2025 (C$M)</t>
  </si>
  <si>
    <t xml:space="preserve">Connacher 2P value (C$M)</t>
  </si>
  <si>
    <t xml:space="preserve">Net debt, Dec 31, 2026E (C$M)</t>
  </si>
  <si>
    <t xml:space="preserve">NAV per share (C$)</t>
  </si>
  <si>
    <t xml:space="preserve">Target P/NAV multiple</t>
  </si>
  <si>
    <t xml:space="preserve">Method 1 value per share (C$)</t>
  </si>
  <si>
    <t xml:space="preserve">Adjusted EBITDA, 2027E (C$M)</t>
  </si>
  <si>
    <t xml:space="preserve">Target EV/EBITDA multiple, 2027E</t>
  </si>
  <si>
    <t xml:space="preserve">Method 2 value per share (C$)</t>
  </si>
  <si>
    <t xml:space="preserve">Current EV per flowing barrel (C$)</t>
  </si>
  <si>
    <t xml:space="preserve">EV / current production</t>
  </si>
  <si>
    <t xml:space="preserve">Price target and rating</t>
  </si>
  <si>
    <t xml:space="preserve">Weight on method 1</t>
  </si>
  <si>
    <t xml:space="preserve">Weight on method 2</t>
  </si>
  <si>
    <t xml:space="preserve">Blended value per share (CAD)</t>
  </si>
  <si>
    <t xml:space="preserve">Blended value per share (USD)</t>
  </si>
  <si>
    <t xml:space="preserve">Converted to listing currency</t>
  </si>
  <si>
    <t xml:space="preserve">12-month price target (USD), rounded</t>
  </si>
  <si>
    <t xml:space="preserve">Rounded to the house increment</t>
  </si>
  <si>
    <t xml:space="preserve">Next-12-month dividend per share (listing currency)</t>
  </si>
  <si>
    <t xml:space="preserve">Implied price return</t>
  </si>
  <si>
    <t xml:space="preserve">Dividend yield</t>
  </si>
  <si>
    <t xml:space="preserve">Rating bands: Buy &gt; 15%, Hold 0–15%, Sell &lt; 0%</t>
  </si>
  <si>
    <t xml:space="preserve">Cross-check 1: two-stage FCFF DCF — CFA L2 Equity: Free Cash Flow Valuation</t>
  </si>
  <si>
    <t xml:space="preserve">Valuation date: Dec 31, 2026. FCFF discounted at WACC, end-year; Gordon growth terminal value on 2030E FCFF.</t>
  </si>
  <si>
    <t xml:space="preserve">Year</t>
  </si>
  <si>
    <t xml:space="preserve">FCFF (CAD M)</t>
  </si>
  <si>
    <t xml:space="preserve">Discount factor</t>
  </si>
  <si>
    <t xml:space="preserve">Present value</t>
  </si>
  <si>
    <t xml:space="preserve">Terminal growth, nominal</t>
  </si>
  <si>
    <t xml:space="preserve">PV of 2027E–2030E FCFF</t>
  </si>
  <si>
    <t xml:space="preserve">Terminal value at 2030</t>
  </si>
  <si>
    <t xml:space="preserve">FCFF 2030 x (1 + g) / (WACC - g)</t>
  </si>
  <si>
    <t xml:space="preserve">PV of terminal value</t>
  </si>
  <si>
    <t xml:space="preserve">Enterprise value (DCF)</t>
  </si>
  <si>
    <t xml:space="preserve">Less: net debt at Dec 31, 2026E</t>
  </si>
  <si>
    <t xml:space="preserve">From Model</t>
  </si>
  <si>
    <t xml:space="preserve">Plus: investments not in FCFF</t>
  </si>
  <si>
    <t xml:space="preserve">DCF value per share (CAD)</t>
  </si>
  <si>
    <t xml:space="preserve">Cross-check only; not in the target weights</t>
  </si>
  <si>
    <t xml:space="preserve">DCF value vs. share price</t>
  </si>
  <si>
    <t xml:space="preserve">Terminal value share of EV</t>
  </si>
  <si>
    <t xml:space="preserve">A high share means the answer rests on long-run assumptions</t>
  </si>
  <si>
    <t xml:space="preserve">Cross-check 2: market-implied growth (reverse Gordon) — CFA L2 Equity: DDM / FCF valuation</t>
  </si>
  <si>
    <t xml:space="preserve">Next-year cash flow per share, 2027E (CAD)</t>
  </si>
  <si>
    <t xml:space="preserve">Free cash flow to equity proxy</t>
  </si>
  <si>
    <t xml:space="preserve">Growth rate implied by today's price: ke - CF1 / P</t>
  </si>
  <si>
    <t xml:space="preserve">Compare with the growth the model actually forecasts</t>
  </si>
  <si>
    <t xml:space="preserve">Greenfire Resources Ltd. — Sensitivity</t>
  </si>
  <si>
    <t xml:space="preserve">Every cell is a live formula on the model; nothing is pasted.</t>
  </si>
  <si>
    <t xml:space="preserve">Price target (USD, before rounding) vs. the two valuation multiples</t>
  </si>
  <si>
    <t xml:space="preserve">P/NAV down, EV/EBITDA 2027E across</t>
  </si>
  <si>
    <t xml:space="preserve">DCF value per share vs. WACC (down) and terminal growth (across)</t>
  </si>
  <si>
    <t xml:space="preserve">Greenfire Resources Ltd. — Financial analysis ratios</t>
  </si>
  <si>
    <t xml:space="preserve">CFA L2 Financial Statement Analysis: DuPont, cash conversion, leverage and payout. Formulas on the Model sheet.</t>
  </si>
  <si>
    <t xml:space="preserve">Ratio</t>
  </si>
  <si>
    <t xml:space="preserve">Reading</t>
  </si>
  <si>
    <t xml:space="preserve">Reinvestment rate (capital / adjusted funds flow)</t>
  </si>
  <si>
    <t xml:space="preserve">Free cash flow conversion (FCF / AFF)</t>
  </si>
  <si>
    <t xml:space="preserve">EBITDA margin per barrel at deck (C$/bbl)</t>
  </si>
  <si>
    <t xml:space="preserve">Greenfire Resources Ltd. — Peer comparison</t>
  </si>
  <si>
    <t xml:space="preserve">Oil sands and heavy oil peers, EV per flowing barrel. GFR at US$7.00 x 1.402; SCR Oct 15; ATH Oct 16, 2026.</t>
  </si>
  <si>
    <t xml:space="preserve">Company</t>
  </si>
  <si>
    <t xml:space="preserve">Ticker</t>
  </si>
  <si>
    <t xml:space="preserve">Price (C$)</t>
  </si>
  <si>
    <t xml:space="preserve">Mkt cap (C$B)</t>
  </si>
  <si>
    <t xml:space="preserve">EV (C$B)</t>
  </si>
  <si>
    <t xml:space="preserve">Production (bbl/d)</t>
  </si>
  <si>
    <t xml:space="preserve">EV/flowing bbl (C$k)</t>
  </si>
  <si>
    <t xml:space="preserve">Greenfire</t>
  </si>
  <si>
    <t xml:space="preserve">GFR</t>
  </si>
  <si>
    <t xml:space="preserve">Strathcona</t>
  </si>
  <si>
    <t xml:space="preserve">SCR</t>
  </si>
  <si>
    <t xml:space="preserve">Athabasca Oil</t>
  </si>
  <si>
    <t xml:space="preserve">ATH</t>
  </si>
  <si>
    <t xml:space="preserve">Source: Company filings; Northwall calculations</t>
  </si>
  <si>
    <t xml:space="preserve">Greenfire Resources Ltd. — Model integrity checks</t>
  </si>
  <si>
    <t xml:space="preserve">Every check should read TRUE before anything is published.</t>
  </si>
  <si>
    <t xml:space="preserve">Check</t>
  </si>
  <si>
    <t xml:space="preserve">Expected</t>
  </si>
  <si>
    <t xml:space="preserve">Pass</t>
  </si>
  <si>
    <t xml:space="preserve">Price target equals the published target</t>
  </si>
  <si>
    <t xml:space="preserve">Rating equals the published rating</t>
  </si>
  <si>
    <t xml:space="preserve">Buy</t>
  </si>
  <si>
    <t xml:space="preserve">2027E adjusted EBITDA equals the published estimate</t>
  </si>
  <si>
    <t xml:space="preserve">2027E AFF per share equals the published estimate</t>
  </si>
  <si>
    <t xml:space="preserve">Blended value (C$) equals the published C$ target</t>
  </si>
  <si>
    <t xml:space="preserve">NAV per share equals the published NAVPS</t>
  </si>
  <si>
    <t xml:space="preserve">All checks pass</t>
  </si>
  <si>
    <t xml:space="preserve">Model change log</t>
  </si>
  <si>
    <t xml:space="preserve">Newest first. One row per change; never delete rows.</t>
  </si>
  <si>
    <t xml:space="preserve">Date</t>
  </si>
  <si>
    <t xml:space="preserve">Version</t>
  </si>
  <si>
    <t xml:space="preserve">Change</t>
  </si>
  <si>
    <t xml:space="preserve">Effect on target</t>
  </si>
  <si>
    <t xml:space="preserve">2026-10-27</t>
  </si>
  <si>
    <t xml:space="preserve">v2026Q2</t>
  </si>
  <si>
    <t xml:space="preserve">Model built on house template from Q2-26 filings; ties to the published 2026-10-27 report</t>
  </si>
  <si>
    <t xml:space="preserve">Target US$8.25, Buy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</si>
</sst>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#,##0.00;\(#,##0.00\);\-"/>
    <numFmt numFmtId="167" formatCode="0.0%;\(0.0%\);\-"/>
    <numFmt numFmtId="168" formatCode="#,##0.0;\(#,##0.0\);\-"/>
    <numFmt numFmtId="169" formatCode="0.000"/>
    <numFmt numFmtId="170" formatCode="#,##0;\(#,##0\);\-"/>
    <numFmt numFmtId="171" formatCode="0.0\x"/>
    <numFmt numFmtId="172" formatCode="0.0\x"/>
    <numFmt numFmtId="173" formatCode="0.00\x"/>
    <numFmt numFmtId="174" formatCode="0.0%"/>
    <numFmt numFmtId="175" formatCode="#,##0.00"/>
    <numFmt numFmtId="17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F5D7C"/>
      <name val="Arial"/>
      <family val="0"/>
      <charset val="1"/>
    </font>
    <font>
      <b val="true"/>
      <sz val="16"/>
      <color rgb="FF0F1A2B"/>
      <name val="Arial"/>
      <family val="0"/>
      <charset val="1"/>
    </font>
    <font>
      <i val="true"/>
      <sz val="8"/>
      <color rgb="FF5A6B7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4"/>
      <color rgb="FF0F1A2B"/>
      <name val="Arial"/>
      <family val="0"/>
      <charset val="1"/>
    </font>
    <font>
      <b val="true"/>
      <sz val="11"/>
      <color rgb="FF0F1A2B"/>
      <name val="Arial"/>
      <family val="0"/>
      <charset val="1"/>
    </font>
    <font>
      <b val="true"/>
      <sz val="11"/>
      <color rgb="FFF7F8F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9EEF2"/>
        <bgColor rgb="FFF7F8FA"/>
      </patternFill>
    </fill>
    <fill>
      <patternFill patternType="solid">
        <fgColor rgb="FF0F1A2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2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C"/>
      <rgbColor rgb="FF969696"/>
      <rgbColor rgb="FF003366"/>
      <rgbColor rgb="FF339966"/>
      <rgbColor rgb="FF0F1A2B"/>
      <rgbColor rgb="FF333300"/>
      <rgbColor rgb="FF993300"/>
      <rgbColor rgb="FF993366"/>
      <rgbColor rgb="FF2F5D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tr">
        <f aca="false">Valuation!$B$43</f>
        <v>Buy</v>
      </c>
    </row>
    <row r="6" customFormat="false" ht="15" hidden="false" customHeight="false" outlineLevel="0" collapsed="false">
      <c r="A6" s="4" t="s">
        <v>4</v>
      </c>
      <c r="B6" s="6" t="n">
        <f aca="false">Valuation!$B$38</f>
        <v>8.25</v>
      </c>
    </row>
    <row r="7" customFormat="false" ht="15" hidden="false" customHeight="false" outlineLevel="0" collapsed="false">
      <c r="A7" s="4" t="s">
        <v>5</v>
      </c>
      <c r="B7" s="6" t="n">
        <f aca="false">Valuation!$B$5</f>
        <v>7</v>
      </c>
    </row>
    <row r="8" customFormat="false" ht="15" hidden="false" customHeight="false" outlineLevel="0" collapsed="false">
      <c r="A8" s="4" t="s">
        <v>6</v>
      </c>
      <c r="B8" s="7" t="n">
        <f aca="false">Valuation!$B$42</f>
        <v>0.178571428571429</v>
      </c>
    </row>
    <row r="9" customFormat="false" ht="15" hidden="false" customHeight="false" outlineLevel="0" collapsed="false">
      <c r="A9" s="4" t="s">
        <v>7</v>
      </c>
      <c r="B9" s="6" t="n">
        <f aca="false">Valuation!$B$28</f>
        <v>12.2337770382696</v>
      </c>
    </row>
    <row r="10" customFormat="false" ht="15" hidden="false" customHeight="false" outlineLevel="0" collapsed="false">
      <c r="A10" s="4" t="s">
        <v>8</v>
      </c>
      <c r="B10" s="6" t="n">
        <f aca="false">Valuation!$B$31</f>
        <v>11.2171381031614</v>
      </c>
    </row>
    <row r="11" customFormat="false" ht="15" hidden="false" customHeight="false" outlineLevel="0" collapsed="false">
      <c r="A11" s="4" t="s">
        <v>9</v>
      </c>
      <c r="B11" s="6" t="n">
        <f aca="false">Valuation!$B$59</f>
        <v>10.9381706736181</v>
      </c>
    </row>
    <row r="12" customFormat="false" ht="15" hidden="false" customHeight="false" outlineLevel="0" collapsed="false">
      <c r="A12" s="4" t="s">
        <v>10</v>
      </c>
      <c r="B12" s="7" t="n">
        <f aca="false">Valuation!$B$16</f>
        <v>0.1147</v>
      </c>
    </row>
    <row r="13" customFormat="false" ht="15" hidden="false" customHeight="false" outlineLevel="0" collapsed="false">
      <c r="A13" s="4" t="s">
        <v>11</v>
      </c>
      <c r="B13" s="7" t="n">
        <f aca="false">Valuation!$B$65</f>
        <v>-0.139749906361485</v>
      </c>
    </row>
    <row r="14" customFormat="false" ht="15" hidden="false" customHeight="false" outlineLevel="0" collapsed="false">
      <c r="A14" s="4" t="s">
        <v>12</v>
      </c>
      <c r="B14" s="5" t="str">
        <f aca="false">IF(Checks!$D$12,"Yes","NO - see Checks")</f>
        <v>Yes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9" t="s">
        <v>15</v>
      </c>
    </row>
    <row r="19" customFormat="false" ht="15" hidden="false" customHeight="false" outlineLevel="0" collapsed="false">
      <c r="A19" s="10" t="s">
        <v>16</v>
      </c>
    </row>
    <row r="20" customFormat="false" ht="15" hidden="false" customHeight="false" outlineLevel="0" collapsed="false">
      <c r="A20" s="11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12" t="s">
        <v>19</v>
      </c>
      <c r="B23" s="3" t="s">
        <v>20</v>
      </c>
    </row>
    <row r="24" customFormat="false" ht="15" hidden="false" customHeight="false" outlineLevel="0" collapsed="false">
      <c r="A24" s="12" t="s">
        <v>21</v>
      </c>
      <c r="B24" s="3" t="s">
        <v>22</v>
      </c>
    </row>
    <row r="25" customFormat="false" ht="15" hidden="false" customHeight="false" outlineLevel="0" collapsed="false">
      <c r="A25" s="12" t="s">
        <v>23</v>
      </c>
      <c r="B25" s="3" t="s">
        <v>24</v>
      </c>
    </row>
    <row r="26" customFormat="false" ht="15" hidden="false" customHeight="false" outlineLevel="0" collapsed="false">
      <c r="A26" s="12" t="s">
        <v>25</v>
      </c>
      <c r="B26" s="3" t="s">
        <v>26</v>
      </c>
    </row>
    <row r="27" customFormat="false" ht="15" hidden="false" customHeight="false" outlineLevel="0" collapsed="false">
      <c r="A27" s="12" t="s">
        <v>27</v>
      </c>
      <c r="B27" s="3" t="s">
        <v>28</v>
      </c>
    </row>
    <row r="28" customFormat="false" ht="15" hidden="false" customHeight="false" outlineLevel="0" collapsed="false">
      <c r="A28" s="12" t="s">
        <v>29</v>
      </c>
      <c r="B28" s="3" t="s">
        <v>30</v>
      </c>
    </row>
    <row r="29" customFormat="false" ht="15" hidden="false" customHeight="false" outlineLevel="0" collapsed="false">
      <c r="A29" s="12" t="s">
        <v>31</v>
      </c>
      <c r="B29" s="3" t="s">
        <v>32</v>
      </c>
    </row>
    <row r="30" customFormat="false" ht="15" hidden="false" customHeight="false" outlineLevel="0" collapsed="false">
      <c r="A30" s="12" t="s">
        <v>33</v>
      </c>
      <c r="B30" s="3" t="s">
        <v>34</v>
      </c>
    </row>
    <row r="31" customFormat="false" ht="15" hidden="false" customHeight="false" outlineLevel="0" collapsed="false">
      <c r="A31" s="12" t="s">
        <v>35</v>
      </c>
      <c r="B31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3" t="s">
        <v>38</v>
      </c>
    </row>
    <row r="4" customFormat="false" ht="15" hidden="false" customHeight="false" outlineLevel="0" collapsed="false">
      <c r="A4" s="14" t="s">
        <v>39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17" t="s">
        <v>50</v>
      </c>
    </row>
    <row r="6" customFormat="false" ht="15" hidden="false" customHeight="false" outlineLevel="0" collapsed="false">
      <c r="A6" s="4" t="s">
        <v>51</v>
      </c>
      <c r="B6" s="12" t="s">
        <v>52</v>
      </c>
      <c r="E6" s="18" t="n">
        <v>91.5</v>
      </c>
      <c r="G6" s="18" t="n">
        <v>80</v>
      </c>
      <c r="H6" s="18" t="n">
        <v>72</v>
      </c>
      <c r="I6" s="18" t="n">
        <v>70</v>
      </c>
      <c r="J6" s="18" t="n">
        <v>70</v>
      </c>
      <c r="K6" s="3" t="s">
        <v>53</v>
      </c>
    </row>
    <row r="8" customFormat="false" ht="15" hidden="false" customHeight="false" outlineLevel="0" collapsed="false">
      <c r="A8" s="14" t="s">
        <v>54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6" t="s">
        <v>40</v>
      </c>
      <c r="B9" s="17" t="s">
        <v>41</v>
      </c>
      <c r="C9" s="17" t="s">
        <v>42</v>
      </c>
      <c r="D9" s="17" t="s">
        <v>43</v>
      </c>
      <c r="E9" s="17" t="s">
        <v>44</v>
      </c>
      <c r="F9" s="17" t="s">
        <v>45</v>
      </c>
      <c r="G9" s="17" t="s">
        <v>46</v>
      </c>
      <c r="H9" s="17" t="s">
        <v>47</v>
      </c>
      <c r="I9" s="17" t="s">
        <v>48</v>
      </c>
      <c r="J9" s="17" t="s">
        <v>49</v>
      </c>
      <c r="K9" s="17" t="s">
        <v>50</v>
      </c>
    </row>
    <row r="10" customFormat="false" ht="15" hidden="false" customHeight="false" outlineLevel="0" collapsed="false">
      <c r="A10" s="12" t="s">
        <v>55</v>
      </c>
      <c r="B10" s="12" t="s">
        <v>56</v>
      </c>
      <c r="C10" s="18" t="n">
        <v>16.169</v>
      </c>
      <c r="F10" s="18" t="n">
        <v>22.5</v>
      </c>
      <c r="G10" s="18" t="n">
        <v>40</v>
      </c>
      <c r="H10" s="18" t="n">
        <v>46</v>
      </c>
      <c r="I10" s="18" t="n">
        <v>50</v>
      </c>
      <c r="J10" s="18" t="n">
        <v>54</v>
      </c>
      <c r="K10" s="3" t="s">
        <v>57</v>
      </c>
    </row>
    <row r="11" customFormat="false" ht="15" hidden="false" customHeight="false" outlineLevel="0" collapsed="false">
      <c r="A11" s="12" t="s">
        <v>58</v>
      </c>
      <c r="B11" s="12" t="s">
        <v>59</v>
      </c>
      <c r="C11" s="18" t="n">
        <v>143.5</v>
      </c>
      <c r="K11" s="3" t="s">
        <v>60</v>
      </c>
    </row>
    <row r="12" customFormat="false" ht="15" hidden="false" customHeight="false" outlineLevel="0" collapsed="false">
      <c r="A12" s="12" t="s">
        <v>61</v>
      </c>
      <c r="B12" s="12" t="s">
        <v>59</v>
      </c>
      <c r="C12" s="18" t="n">
        <v>111.8</v>
      </c>
      <c r="K12" s="3" t="s">
        <v>60</v>
      </c>
    </row>
    <row r="13" customFormat="false" ht="15" hidden="false" customHeight="false" outlineLevel="0" collapsed="false">
      <c r="A13" s="12" t="s">
        <v>62</v>
      </c>
      <c r="B13" s="12" t="s">
        <v>59</v>
      </c>
      <c r="C13" s="18" t="n">
        <v>31.7</v>
      </c>
      <c r="K13" s="3" t="s">
        <v>60</v>
      </c>
    </row>
    <row r="14" customFormat="false" ht="15" hidden="false" customHeight="false" outlineLevel="0" collapsed="false">
      <c r="A14" s="12" t="s">
        <v>63</v>
      </c>
      <c r="B14" s="12" t="s">
        <v>59</v>
      </c>
      <c r="G14" s="18" t="n">
        <v>45</v>
      </c>
      <c r="H14" s="18" t="n">
        <v>38</v>
      </c>
      <c r="I14" s="18" t="n">
        <v>32</v>
      </c>
      <c r="J14" s="18" t="n">
        <v>26</v>
      </c>
      <c r="K14" s="3" t="s">
        <v>64</v>
      </c>
    </row>
    <row r="15" customFormat="false" ht="15" hidden="false" customHeight="false" outlineLevel="0" collapsed="false">
      <c r="A15" s="12" t="s">
        <v>65</v>
      </c>
      <c r="B15" s="12" t="s">
        <v>59</v>
      </c>
      <c r="G15" s="18" t="n">
        <v>330</v>
      </c>
      <c r="H15" s="18" t="n">
        <v>300</v>
      </c>
      <c r="I15" s="18" t="n">
        <v>300</v>
      </c>
      <c r="J15" s="18" t="n">
        <v>300</v>
      </c>
      <c r="K15" s="3" t="s">
        <v>66</v>
      </c>
    </row>
    <row r="16" customFormat="false" ht="15" hidden="false" customHeight="false" outlineLevel="0" collapsed="false">
      <c r="A16" s="12" t="s">
        <v>67</v>
      </c>
      <c r="B16" s="12" t="s">
        <v>68</v>
      </c>
      <c r="F16" s="18" t="n">
        <v>240.4</v>
      </c>
      <c r="G16" s="18" t="n">
        <v>240.4</v>
      </c>
      <c r="H16" s="18" t="n">
        <v>240.4</v>
      </c>
      <c r="I16" s="18" t="n">
        <v>240.4</v>
      </c>
      <c r="J16" s="18" t="n">
        <v>240.4</v>
      </c>
      <c r="K16" s="3" t="s">
        <v>69</v>
      </c>
    </row>
    <row r="17" customFormat="false" ht="15" hidden="false" customHeight="false" outlineLevel="0" collapsed="false">
      <c r="A17" s="12" t="s">
        <v>70</v>
      </c>
      <c r="B17" s="12" t="s">
        <v>59</v>
      </c>
      <c r="F17" s="18" t="n">
        <v>530</v>
      </c>
      <c r="K17" s="3" t="s">
        <v>71</v>
      </c>
    </row>
    <row r="19" customFormat="false" ht="15" hidden="false" customHeight="false" outlineLevel="0" collapsed="false">
      <c r="A19" s="14" t="s">
        <v>72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6" t="s">
        <v>40</v>
      </c>
      <c r="B20" s="17" t="s">
        <v>41</v>
      </c>
      <c r="C20" s="17" t="s">
        <v>73</v>
      </c>
      <c r="D20" s="17"/>
      <c r="E20" s="17"/>
      <c r="F20" s="17"/>
      <c r="G20" s="17"/>
      <c r="H20" s="17"/>
      <c r="I20" s="17"/>
      <c r="J20" s="17"/>
      <c r="K20" s="17" t="s">
        <v>50</v>
      </c>
    </row>
    <row r="21" customFormat="false" ht="15" hidden="false" customHeight="false" outlineLevel="0" collapsed="false">
      <c r="A21" s="12" t="s">
        <v>74</v>
      </c>
      <c r="B21" s="12"/>
      <c r="C21" s="19" t="n">
        <v>7</v>
      </c>
      <c r="K21" s="3" t="s">
        <v>75</v>
      </c>
    </row>
    <row r="22" customFormat="false" ht="15" hidden="false" customHeight="false" outlineLevel="0" collapsed="false">
      <c r="A22" s="12" t="s">
        <v>76</v>
      </c>
      <c r="B22" s="12"/>
      <c r="C22" s="20" t="n">
        <v>1.402</v>
      </c>
      <c r="K22" s="3" t="s">
        <v>77</v>
      </c>
    </row>
    <row r="23" customFormat="false" ht="15" hidden="false" customHeight="false" outlineLevel="0" collapsed="false">
      <c r="A23" s="12" t="s">
        <v>78</v>
      </c>
      <c r="B23" s="12" t="s">
        <v>68</v>
      </c>
      <c r="C23" s="18" t="n">
        <v>240.4</v>
      </c>
      <c r="K23" s="3" t="s">
        <v>79</v>
      </c>
    </row>
    <row r="24" customFormat="false" ht="15" hidden="false" customHeight="false" outlineLevel="0" collapsed="false">
      <c r="A24" s="12" t="s">
        <v>80</v>
      </c>
      <c r="B24" s="12" t="s">
        <v>68</v>
      </c>
      <c r="C24" s="21" t="n">
        <v>570</v>
      </c>
      <c r="K24" s="3" t="s">
        <v>81</v>
      </c>
    </row>
    <row r="25" customFormat="false" ht="15" hidden="false" customHeight="false" outlineLevel="0" collapsed="false">
      <c r="A25" s="12" t="s">
        <v>82</v>
      </c>
      <c r="B25" s="12"/>
      <c r="C25" s="22" t="n">
        <v>1.3</v>
      </c>
      <c r="K25" s="3" t="s">
        <v>83</v>
      </c>
    </row>
    <row r="26" customFormat="false" ht="15" hidden="false" customHeight="false" outlineLevel="0" collapsed="false">
      <c r="A26" s="12" t="s">
        <v>84</v>
      </c>
      <c r="B26" s="12"/>
      <c r="C26" s="23" t="n">
        <v>0.08</v>
      </c>
      <c r="K26" s="3" t="s">
        <v>85</v>
      </c>
    </row>
    <row r="27" customFormat="false" ht="15" hidden="false" customHeight="false" outlineLevel="0" collapsed="false">
      <c r="A27" s="12" t="s">
        <v>86</v>
      </c>
      <c r="B27" s="12"/>
      <c r="C27" s="23" t="n">
        <v>0.23</v>
      </c>
      <c r="K27" s="3" t="s">
        <v>87</v>
      </c>
    </row>
    <row r="28" customFormat="false" ht="15" hidden="false" customHeight="false" outlineLevel="0" collapsed="false">
      <c r="A28" s="12" t="s">
        <v>88</v>
      </c>
      <c r="B28" s="12" t="s">
        <v>68</v>
      </c>
      <c r="C28" s="21" t="n">
        <v>570</v>
      </c>
      <c r="K28" s="3" t="s">
        <v>81</v>
      </c>
    </row>
    <row r="29" customFormat="false" ht="15" hidden="false" customHeight="false" outlineLevel="0" collapsed="false">
      <c r="A29" s="12" t="s">
        <v>89</v>
      </c>
      <c r="B29" s="12"/>
      <c r="C29" s="23" t="n">
        <v>0.5</v>
      </c>
      <c r="K29" s="3" t="s">
        <v>90</v>
      </c>
    </row>
    <row r="30" customFormat="false" ht="15" hidden="false" customHeight="false" outlineLevel="0" collapsed="false">
      <c r="A30" s="12" t="s">
        <v>91</v>
      </c>
      <c r="B30" s="12"/>
      <c r="C30" s="22" t="n">
        <v>0.85</v>
      </c>
      <c r="K30" s="3" t="s">
        <v>92</v>
      </c>
    </row>
    <row r="31" customFormat="false" ht="15" hidden="false" customHeight="false" outlineLevel="0" collapsed="false">
      <c r="A31" s="12" t="s">
        <v>93</v>
      </c>
      <c r="B31" s="12"/>
      <c r="C31" s="22" t="n">
        <v>5</v>
      </c>
      <c r="K31" s="3" t="s">
        <v>94</v>
      </c>
    </row>
    <row r="32" customFormat="false" ht="15" hidden="false" customHeight="false" outlineLevel="0" collapsed="false">
      <c r="A32" s="12" t="s">
        <v>95</v>
      </c>
      <c r="B32" s="12"/>
      <c r="C32" s="19" t="n">
        <v>0</v>
      </c>
      <c r="K32" s="3" t="s">
        <v>96</v>
      </c>
    </row>
    <row r="33" customFormat="false" ht="15" hidden="false" customHeight="false" outlineLevel="0" collapsed="false">
      <c r="A33" s="12" t="s">
        <v>97</v>
      </c>
      <c r="B33" s="12"/>
      <c r="C33" s="19" t="n">
        <v>0.25</v>
      </c>
      <c r="K33" s="3" t="s">
        <v>98</v>
      </c>
    </row>
    <row r="34" customFormat="false" ht="15" hidden="false" customHeight="false" outlineLevel="0" collapsed="false">
      <c r="A34" s="12" t="s">
        <v>99</v>
      </c>
      <c r="B34" s="12"/>
      <c r="C34" s="23" t="n">
        <v>0.15</v>
      </c>
      <c r="K34" s="3" t="s">
        <v>100</v>
      </c>
    </row>
    <row r="35" customFormat="false" ht="15" hidden="false" customHeight="false" outlineLevel="0" collapsed="false">
      <c r="A35" s="12" t="s">
        <v>101</v>
      </c>
      <c r="B35" s="12"/>
      <c r="C35" s="23" t="n">
        <v>0</v>
      </c>
      <c r="K35" s="3" t="s">
        <v>102</v>
      </c>
    </row>
    <row r="36" customFormat="false" ht="15" hidden="false" customHeight="false" outlineLevel="0" collapsed="false">
      <c r="A36" s="12" t="s">
        <v>103</v>
      </c>
      <c r="B36" s="12" t="s">
        <v>68</v>
      </c>
      <c r="C36" s="21" t="n">
        <v>0</v>
      </c>
      <c r="K36" s="3" t="s">
        <v>104</v>
      </c>
    </row>
    <row r="37" customFormat="false" ht="15" hidden="false" customHeight="false" outlineLevel="0" collapsed="false">
      <c r="A37" s="12" t="s">
        <v>105</v>
      </c>
      <c r="B37" s="12" t="s">
        <v>106</v>
      </c>
      <c r="C37" s="19" t="n">
        <v>32.5</v>
      </c>
      <c r="K37" s="3" t="s">
        <v>107</v>
      </c>
    </row>
    <row r="38" customFormat="false" ht="15" hidden="false" customHeight="false" outlineLevel="0" collapsed="false">
      <c r="A38" s="12" t="s">
        <v>108</v>
      </c>
      <c r="B38" s="12" t="s">
        <v>106</v>
      </c>
      <c r="C38" s="22" t="n">
        <v>1.17</v>
      </c>
      <c r="K38" s="3" t="s">
        <v>109</v>
      </c>
    </row>
    <row r="39" customFormat="false" ht="15" hidden="false" customHeight="false" outlineLevel="0" collapsed="false">
      <c r="A39" s="12" t="s">
        <v>110</v>
      </c>
      <c r="B39" s="12" t="s">
        <v>52</v>
      </c>
      <c r="C39" s="19" t="n">
        <v>70</v>
      </c>
      <c r="K39" s="3" t="s">
        <v>111</v>
      </c>
    </row>
    <row r="40" customFormat="false" ht="15" hidden="false" customHeight="false" outlineLevel="0" collapsed="false">
      <c r="A40" s="12" t="s">
        <v>112</v>
      </c>
      <c r="B40" s="12" t="s">
        <v>59</v>
      </c>
      <c r="C40" s="21" t="n">
        <v>1990</v>
      </c>
      <c r="K40" s="3" t="s">
        <v>113</v>
      </c>
    </row>
    <row r="41" customFormat="false" ht="15" hidden="false" customHeight="false" outlineLevel="0" collapsed="false">
      <c r="A41" s="12" t="s">
        <v>114</v>
      </c>
      <c r="B41" s="12" t="s">
        <v>59</v>
      </c>
      <c r="C41" s="24" t="n">
        <v>2000</v>
      </c>
      <c r="K41" s="3" t="s">
        <v>115</v>
      </c>
    </row>
    <row r="42" customFormat="false" ht="15" hidden="false" customHeight="false" outlineLevel="0" collapsed="false">
      <c r="A42" s="12" t="s">
        <v>116</v>
      </c>
      <c r="B42" s="12" t="s">
        <v>117</v>
      </c>
      <c r="C42" s="21" t="n">
        <v>34000</v>
      </c>
      <c r="K42" s="3" t="s">
        <v>118</v>
      </c>
    </row>
    <row r="43" customFormat="false" ht="15" hidden="false" customHeight="false" outlineLevel="0" collapsed="false">
      <c r="A43" s="12" t="s">
        <v>119</v>
      </c>
      <c r="B43" s="12" t="s">
        <v>120</v>
      </c>
      <c r="C43" s="23" t="n">
        <v>0.0497</v>
      </c>
      <c r="K43" s="3" t="s">
        <v>121</v>
      </c>
    </row>
    <row r="44" customFormat="false" ht="15" hidden="false" customHeight="false" outlineLevel="0" collapsed="false">
      <c r="A44" s="12" t="s">
        <v>122</v>
      </c>
      <c r="B44" s="12" t="s">
        <v>120</v>
      </c>
      <c r="C44" s="23" t="n">
        <v>0.05</v>
      </c>
      <c r="K44" s="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3" t="s">
        <v>124</v>
      </c>
    </row>
    <row r="2" customFormat="false" ht="15" hidden="false" customHeight="false" outlineLevel="0" collapsed="false">
      <c r="A2" s="3" t="s">
        <v>125</v>
      </c>
    </row>
    <row r="4" customFormat="false" ht="15" hidden="false" customHeight="false" outlineLevel="0" collapsed="false">
      <c r="A4" s="16" t="s">
        <v>126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127</v>
      </c>
    </row>
    <row r="5" customFormat="false" ht="15" hidden="false" customHeight="false" outlineLevel="0" collapsed="false">
      <c r="A5" s="14" t="s">
        <v>128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9" t="s">
        <v>55</v>
      </c>
      <c r="B6" s="12" t="s">
        <v>56</v>
      </c>
      <c r="C6" s="25" t="n">
        <f aca="false">Inputs!C10</f>
        <v>16.169</v>
      </c>
      <c r="F6" s="25" t="n">
        <f aca="false">Inputs!F10</f>
        <v>22.5</v>
      </c>
      <c r="G6" s="25" t="n">
        <f aca="false">Inputs!G10</f>
        <v>40</v>
      </c>
      <c r="H6" s="25" t="n">
        <f aca="false">Inputs!H10</f>
        <v>46</v>
      </c>
      <c r="I6" s="25" t="n">
        <f aca="false">Inputs!I10</f>
        <v>50</v>
      </c>
      <c r="J6" s="25" t="n">
        <f aca="false">Inputs!J10</f>
        <v>54</v>
      </c>
      <c r="K6" s="3"/>
    </row>
    <row r="7" customFormat="false" ht="15" hidden="false" customHeight="false" outlineLevel="0" collapsed="false">
      <c r="A7" s="9" t="s">
        <v>51</v>
      </c>
      <c r="B7" s="12" t="s">
        <v>52</v>
      </c>
      <c r="G7" s="25" t="n">
        <f aca="false">Inputs!G6</f>
        <v>80</v>
      </c>
      <c r="H7" s="25" t="n">
        <f aca="false">Inputs!H6</f>
        <v>72</v>
      </c>
      <c r="I7" s="25" t="n">
        <f aca="false">Inputs!I6</f>
        <v>70</v>
      </c>
      <c r="J7" s="25" t="n">
        <f aca="false">Inputs!J6</f>
        <v>70</v>
      </c>
      <c r="K7" s="3"/>
    </row>
    <row r="8" customFormat="false" ht="15" hidden="false" customHeight="false" outlineLevel="0" collapsed="false">
      <c r="A8" s="9" t="s">
        <v>129</v>
      </c>
      <c r="B8" s="12" t="s">
        <v>106</v>
      </c>
      <c r="G8" s="26" t="n">
        <f aca="false">Inputs!$C$37+Inputs!$C$38*(G7-Inputs!$C$39)</f>
        <v>44.2</v>
      </c>
      <c r="H8" s="26" t="n">
        <f aca="false">Inputs!$C$37+Inputs!$C$38*(H7-Inputs!$C$39)</f>
        <v>34.84</v>
      </c>
      <c r="I8" s="26" t="n">
        <f aca="false">Inputs!$C$37+Inputs!$C$38*(I7-Inputs!$C$39)</f>
        <v>32.5</v>
      </c>
      <c r="J8" s="26" t="n">
        <f aca="false">Inputs!$C$37+Inputs!$C$38*(J7-Inputs!$C$39)</f>
        <v>32.5</v>
      </c>
      <c r="K8" s="3" t="s">
        <v>130</v>
      </c>
    </row>
    <row r="9" customFormat="false" ht="15" hidden="false" customHeight="false" outlineLevel="0" collapsed="false">
      <c r="A9" s="14" t="s">
        <v>131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4" t="s">
        <v>132</v>
      </c>
      <c r="B10" s="12" t="s">
        <v>59</v>
      </c>
      <c r="G10" s="27" t="n">
        <f aca="false">G6*365*G8/1000</f>
        <v>645.32</v>
      </c>
      <c r="H10" s="27" t="n">
        <f aca="false">H6*365*H8/1000</f>
        <v>584.9636</v>
      </c>
      <c r="I10" s="27" t="n">
        <f aca="false">I6*365*I8/1000</f>
        <v>593.125</v>
      </c>
      <c r="J10" s="27" t="n">
        <f aca="false">J6*365*J8/1000</f>
        <v>640.575</v>
      </c>
      <c r="K10" s="3"/>
    </row>
    <row r="11" customFormat="false" ht="15" hidden="false" customHeight="false" outlineLevel="0" collapsed="false">
      <c r="A11" s="9" t="s">
        <v>63</v>
      </c>
      <c r="B11" s="12" t="s">
        <v>59</v>
      </c>
      <c r="G11" s="25" t="n">
        <f aca="false">Inputs!G14</f>
        <v>45</v>
      </c>
      <c r="H11" s="25" t="n">
        <f aca="false">Inputs!H14</f>
        <v>38</v>
      </c>
      <c r="I11" s="25" t="n">
        <f aca="false">Inputs!I14</f>
        <v>32</v>
      </c>
      <c r="J11" s="25" t="n">
        <f aca="false">Inputs!J14</f>
        <v>26</v>
      </c>
      <c r="K11" s="3"/>
    </row>
    <row r="12" customFormat="false" ht="15" hidden="false" customHeight="false" outlineLevel="0" collapsed="false">
      <c r="A12" s="4" t="s">
        <v>133</v>
      </c>
      <c r="B12" s="12" t="s">
        <v>59</v>
      </c>
      <c r="C12" s="27" t="n">
        <f aca="false">Inputs!C11</f>
        <v>143.5</v>
      </c>
      <c r="G12" s="27" t="n">
        <f aca="false">G10-G11</f>
        <v>600.32</v>
      </c>
      <c r="H12" s="27" t="n">
        <f aca="false">H10-H11</f>
        <v>546.9636</v>
      </c>
      <c r="I12" s="27" t="n">
        <f aca="false">I10-I11</f>
        <v>561.125</v>
      </c>
      <c r="J12" s="27" t="n">
        <f aca="false">J10-J11</f>
        <v>614.575</v>
      </c>
      <c r="K12" s="3" t="s">
        <v>134</v>
      </c>
    </row>
    <row r="13" customFormat="false" ht="15" hidden="false" customHeight="false" outlineLevel="0" collapsed="false">
      <c r="A13" s="9" t="s">
        <v>67</v>
      </c>
      <c r="B13" s="12" t="s">
        <v>68</v>
      </c>
      <c r="F13" s="25" t="n">
        <f aca="false">Inputs!F16</f>
        <v>240.4</v>
      </c>
      <c r="G13" s="25" t="n">
        <f aca="false">Inputs!G16</f>
        <v>240.4</v>
      </c>
      <c r="H13" s="25" t="n">
        <f aca="false">Inputs!H16</f>
        <v>240.4</v>
      </c>
      <c r="I13" s="25" t="n">
        <f aca="false">Inputs!I16</f>
        <v>240.4</v>
      </c>
      <c r="J13" s="25" t="n">
        <f aca="false">Inputs!J16</f>
        <v>240.4</v>
      </c>
      <c r="K13" s="3"/>
    </row>
    <row r="14" customFormat="false" ht="15" hidden="false" customHeight="false" outlineLevel="0" collapsed="false">
      <c r="A14" s="4" t="s">
        <v>135</v>
      </c>
      <c r="B14" s="12" t="s">
        <v>136</v>
      </c>
      <c r="G14" s="28" t="n">
        <f aca="false">G12/G13</f>
        <v>2.49717138103161</v>
      </c>
      <c r="H14" s="28" t="n">
        <f aca="false">H12/H13</f>
        <v>2.27522296173045</v>
      </c>
      <c r="I14" s="28" t="n">
        <f aca="false">I12/I13</f>
        <v>2.3341306156406</v>
      </c>
      <c r="J14" s="28" t="n">
        <f aca="false">J12/J13</f>
        <v>2.5564683860233</v>
      </c>
      <c r="K14" s="3"/>
    </row>
    <row r="15" customFormat="false" ht="15" hidden="false" customHeight="false" outlineLevel="0" collapsed="false">
      <c r="A15" s="9" t="s">
        <v>65</v>
      </c>
      <c r="B15" s="12" t="s">
        <v>59</v>
      </c>
      <c r="C15" s="25" t="n">
        <f aca="false">Inputs!C12</f>
        <v>111.8</v>
      </c>
      <c r="G15" s="25" t="n">
        <f aca="false">Inputs!G15</f>
        <v>330</v>
      </c>
      <c r="H15" s="25" t="n">
        <f aca="false">Inputs!H15</f>
        <v>300</v>
      </c>
      <c r="I15" s="25" t="n">
        <f aca="false">Inputs!I15</f>
        <v>300</v>
      </c>
      <c r="J15" s="25" t="n">
        <f aca="false">Inputs!J15</f>
        <v>300</v>
      </c>
      <c r="K15" s="3"/>
    </row>
    <row r="16" customFormat="false" ht="15" hidden="false" customHeight="false" outlineLevel="0" collapsed="false">
      <c r="A16" s="4" t="s">
        <v>137</v>
      </c>
      <c r="B16" s="12" t="s">
        <v>59</v>
      </c>
      <c r="C16" s="27" t="n">
        <f aca="false">Inputs!C13</f>
        <v>31.7</v>
      </c>
      <c r="G16" s="27" t="n">
        <f aca="false">G12-G15</f>
        <v>270.32</v>
      </c>
      <c r="H16" s="27" t="n">
        <f aca="false">H12-H15</f>
        <v>246.9636</v>
      </c>
      <c r="I16" s="27" t="n">
        <f aca="false">I12-I15</f>
        <v>261.125</v>
      </c>
      <c r="J16" s="27" t="n">
        <f aca="false">J12-J15</f>
        <v>314.575</v>
      </c>
      <c r="K16" s="3"/>
    </row>
    <row r="17" customFormat="false" ht="15" hidden="false" customHeight="false" outlineLevel="0" collapsed="false">
      <c r="A17" s="9" t="s">
        <v>138</v>
      </c>
      <c r="B17" s="12" t="s">
        <v>59</v>
      </c>
      <c r="G17" s="29" t="n">
        <f aca="false">G16+G11</f>
        <v>315.32</v>
      </c>
      <c r="H17" s="29" t="n">
        <f aca="false">H16+H11</f>
        <v>284.9636</v>
      </c>
      <c r="I17" s="29" t="n">
        <f aca="false">I16+I11</f>
        <v>293.125</v>
      </c>
      <c r="J17" s="29" t="n">
        <f aca="false">J16+J11</f>
        <v>340.575</v>
      </c>
      <c r="K17" s="3"/>
    </row>
    <row r="18" customFormat="false" ht="15" hidden="false" customHeight="false" outlineLevel="0" collapsed="false">
      <c r="A18" s="14" t="s">
        <v>104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5" hidden="false" customHeight="false" outlineLevel="0" collapsed="false">
      <c r="A19" s="4" t="s">
        <v>139</v>
      </c>
      <c r="B19" s="12" t="s">
        <v>59</v>
      </c>
      <c r="F19" s="27" t="n">
        <f aca="false">Inputs!F17</f>
        <v>530</v>
      </c>
      <c r="G19" s="27" t="n">
        <f aca="false">F19-G16</f>
        <v>259.68</v>
      </c>
      <c r="H19" s="27" t="n">
        <f aca="false">G19-H16</f>
        <v>12.7163999999999</v>
      </c>
      <c r="I19" s="27" t="n">
        <f aca="false">H19-I16</f>
        <v>-248.4086</v>
      </c>
      <c r="J19" s="27" t="n">
        <f aca="false">I19-J16</f>
        <v>-562.9836</v>
      </c>
      <c r="K19" s="3"/>
    </row>
    <row r="20" customFormat="false" ht="15" hidden="false" customHeight="false" outlineLevel="0" collapsed="false">
      <c r="A20" s="9" t="s">
        <v>140</v>
      </c>
      <c r="B20" s="12" t="s">
        <v>141</v>
      </c>
      <c r="G20" s="26" t="n">
        <f aca="false">F19/G10</f>
        <v>0.821297960701667</v>
      </c>
      <c r="H20" s="26" t="n">
        <f aca="false">G19/H10</f>
        <v>0.443925057901039</v>
      </c>
      <c r="I20" s="26" t="n">
        <f aca="false">H19/I10</f>
        <v>0.0214396628029503</v>
      </c>
      <c r="J20" s="26" t="n">
        <f aca="false">I19/J10</f>
        <v>-0.387790032392772</v>
      </c>
      <c r="K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3" t="s">
        <v>142</v>
      </c>
    </row>
    <row r="2" customFormat="false" ht="15" hidden="false" customHeight="false" outlineLevel="0" collapsed="false">
      <c r="A2" s="3" t="s">
        <v>143</v>
      </c>
    </row>
    <row r="4" customFormat="false" ht="15" hidden="false" customHeight="false" outlineLevel="0" collapsed="false">
      <c r="A4" s="14" t="s">
        <v>144</v>
      </c>
      <c r="B4" s="15"/>
      <c r="C4" s="15"/>
    </row>
    <row r="5" customFormat="false" ht="15" hidden="false" customHeight="false" outlineLevel="0" collapsed="false">
      <c r="A5" s="12" t="s">
        <v>145</v>
      </c>
      <c r="B5" s="30" t="n">
        <f aca="false">Inputs!$C$21</f>
        <v>7</v>
      </c>
      <c r="C5" s="3" t="s">
        <v>75</v>
      </c>
    </row>
    <row r="6" customFormat="false" ht="15" hidden="false" customHeight="false" outlineLevel="0" collapsed="false">
      <c r="A6" s="12" t="s">
        <v>146</v>
      </c>
      <c r="B6" s="26" t="n">
        <f aca="false">Inputs!$C$21*Inputs!$C$22</f>
        <v>9.814</v>
      </c>
      <c r="C6" s="3" t="s">
        <v>147</v>
      </c>
    </row>
    <row r="7" customFormat="false" ht="15" hidden="false" customHeight="false" outlineLevel="0" collapsed="false">
      <c r="A7" s="12" t="s">
        <v>148</v>
      </c>
      <c r="B7" s="25" t="n">
        <f aca="false">Inputs!$C$23</f>
        <v>240.4</v>
      </c>
      <c r="C7" s="3"/>
    </row>
    <row r="8" customFormat="false" ht="15" hidden="false" customHeight="false" outlineLevel="0" collapsed="false">
      <c r="A8" s="12" t="s">
        <v>149</v>
      </c>
      <c r="B8" s="31" t="n">
        <f aca="false">Valuation!$B$6*Valuation!$B$7</f>
        <v>2359.2856</v>
      </c>
      <c r="C8" s="3"/>
    </row>
    <row r="9" customFormat="false" ht="15" hidden="false" customHeight="false" outlineLevel="0" collapsed="false">
      <c r="A9" s="12" t="s">
        <v>150</v>
      </c>
      <c r="B9" s="32" t="n">
        <f aca="false">Inputs!$C$24</f>
        <v>570</v>
      </c>
      <c r="C9" s="3" t="s">
        <v>151</v>
      </c>
    </row>
    <row r="10" customFormat="false" ht="15" hidden="false" customHeight="false" outlineLevel="0" collapsed="false">
      <c r="A10" s="12" t="s">
        <v>152</v>
      </c>
      <c r="B10" s="33" t="n">
        <f aca="false">Valuation!$B$8+Valuation!$B$9</f>
        <v>2929.2856</v>
      </c>
      <c r="C10" s="3" t="s">
        <v>153</v>
      </c>
    </row>
    <row r="12" customFormat="false" ht="15" hidden="false" customHeight="false" outlineLevel="0" collapsed="false">
      <c r="A12" s="14" t="s">
        <v>154</v>
      </c>
      <c r="B12" s="15"/>
      <c r="C12" s="15"/>
    </row>
    <row r="13" customFormat="false" ht="15" hidden="false" customHeight="false" outlineLevel="0" collapsed="false">
      <c r="A13" s="12" t="s">
        <v>155</v>
      </c>
      <c r="B13" s="34" t="n">
        <f aca="false">Inputs!$C$43</f>
        <v>0.0497</v>
      </c>
      <c r="C13" s="3" t="s">
        <v>156</v>
      </c>
    </row>
    <row r="14" customFormat="false" ht="15" hidden="false" customHeight="false" outlineLevel="0" collapsed="false">
      <c r="A14" s="12" t="s">
        <v>82</v>
      </c>
      <c r="B14" s="30" t="n">
        <f aca="false">Inputs!$C$25</f>
        <v>1.3</v>
      </c>
      <c r="C14" s="3" t="s">
        <v>83</v>
      </c>
    </row>
    <row r="15" customFormat="false" ht="15" hidden="false" customHeight="false" outlineLevel="0" collapsed="false">
      <c r="A15" s="12" t="s">
        <v>122</v>
      </c>
      <c r="B15" s="34" t="n">
        <f aca="false">Inputs!$C$44</f>
        <v>0.05</v>
      </c>
      <c r="C15" s="3" t="s">
        <v>156</v>
      </c>
    </row>
    <row r="16" customFormat="false" ht="15" hidden="false" customHeight="false" outlineLevel="0" collapsed="false">
      <c r="A16" s="12" t="s">
        <v>157</v>
      </c>
      <c r="B16" s="35" t="n">
        <f aca="false">Valuation!$B$13+Valuation!$B$14*Valuation!$B$15</f>
        <v>0.1147</v>
      </c>
      <c r="C16" s="3" t="s">
        <v>158</v>
      </c>
    </row>
    <row r="17" customFormat="false" ht="15" hidden="false" customHeight="false" outlineLevel="0" collapsed="false">
      <c r="A17" s="12" t="s">
        <v>84</v>
      </c>
      <c r="B17" s="34" t="n">
        <f aca="false">Inputs!$C$26</f>
        <v>0.08</v>
      </c>
      <c r="C17" s="3" t="s">
        <v>85</v>
      </c>
    </row>
    <row r="18" customFormat="false" ht="15" hidden="false" customHeight="false" outlineLevel="0" collapsed="false">
      <c r="A18" s="12" t="s">
        <v>86</v>
      </c>
      <c r="B18" s="34" t="n">
        <f aca="false">Inputs!$C$27</f>
        <v>0.23</v>
      </c>
      <c r="C18" s="3"/>
    </row>
    <row r="19" customFormat="false" ht="15" hidden="false" customHeight="false" outlineLevel="0" collapsed="false">
      <c r="A19" s="12" t="s">
        <v>159</v>
      </c>
      <c r="B19" s="35" t="n">
        <f aca="false">Inputs!$C$28/(Inputs!$C$28+Valuation!$B$8)</f>
        <v>0.194586693765879</v>
      </c>
      <c r="C19" s="3" t="s">
        <v>160</v>
      </c>
    </row>
    <row r="20" customFormat="false" ht="15" hidden="false" customHeight="false" outlineLevel="0" collapsed="false">
      <c r="A20" s="12" t="s">
        <v>161</v>
      </c>
      <c r="B20" s="35" t="n">
        <f aca="false">Valuation!$B$16*(1-Valuation!$B$19)+Valuation!$B$17*(1-Valuation!$B$18)*Valuation!$B$19</f>
        <v>0.104367446561032</v>
      </c>
      <c r="C20" s="3" t="s">
        <v>162</v>
      </c>
    </row>
    <row r="22" customFormat="false" ht="15" hidden="false" customHeight="false" outlineLevel="0" collapsed="false">
      <c r="A22" s="14" t="s">
        <v>163</v>
      </c>
      <c r="B22" s="15"/>
      <c r="C22" s="15"/>
    </row>
    <row r="23" customFormat="false" ht="15" hidden="false" customHeight="false" outlineLevel="0" collapsed="false">
      <c r="A23" s="12" t="s">
        <v>164</v>
      </c>
      <c r="B23" s="32" t="n">
        <f aca="false">Inputs!$C$40</f>
        <v>1990</v>
      </c>
      <c r="C23" s="3" t="s">
        <v>113</v>
      </c>
    </row>
    <row r="24" customFormat="false" ht="15" hidden="false" customHeight="false" outlineLevel="0" collapsed="false">
      <c r="A24" s="12" t="s">
        <v>165</v>
      </c>
      <c r="B24" s="32" t="n">
        <f aca="false">Inputs!$C$41</f>
        <v>2000</v>
      </c>
      <c r="C24" s="3" t="s">
        <v>115</v>
      </c>
    </row>
    <row r="25" customFormat="false" ht="15" hidden="false" customHeight="false" outlineLevel="0" collapsed="false">
      <c r="A25" s="12" t="s">
        <v>166</v>
      </c>
      <c r="B25" s="32" t="n">
        <f aca="false">Model!$F$19</f>
        <v>530</v>
      </c>
      <c r="C25" s="3"/>
    </row>
    <row r="26" customFormat="false" ht="15" hidden="false" customHeight="false" outlineLevel="0" collapsed="false">
      <c r="A26" s="12" t="s">
        <v>167</v>
      </c>
      <c r="B26" s="36" t="n">
        <f aca="false">(Valuation!$B$23+Valuation!$B$24-Valuation!$B$25)/Valuation!$B$7</f>
        <v>14.3926788685524</v>
      </c>
      <c r="C26" s="3"/>
    </row>
    <row r="27" customFormat="false" ht="15" hidden="false" customHeight="false" outlineLevel="0" collapsed="false">
      <c r="A27" s="12" t="s">
        <v>168</v>
      </c>
      <c r="B27" s="37" t="n">
        <f aca="false">Inputs!$C$30</f>
        <v>0.85</v>
      </c>
      <c r="C27" s="3" t="s">
        <v>92</v>
      </c>
    </row>
    <row r="28" customFormat="false" ht="15" hidden="false" customHeight="false" outlineLevel="0" collapsed="false">
      <c r="A28" s="12" t="s">
        <v>169</v>
      </c>
      <c r="B28" s="36" t="n">
        <f aca="false">Valuation!$B$27*Valuation!$B$26</f>
        <v>12.2337770382696</v>
      </c>
      <c r="C28" s="3"/>
    </row>
    <row r="29" customFormat="false" ht="15" hidden="false" customHeight="false" outlineLevel="0" collapsed="false">
      <c r="A29" s="12" t="s">
        <v>170</v>
      </c>
      <c r="B29" s="32" t="n">
        <f aca="false">Model!$G$10</f>
        <v>645.32</v>
      </c>
      <c r="C29" s="3"/>
    </row>
    <row r="30" customFormat="false" ht="15" hidden="false" customHeight="false" outlineLevel="0" collapsed="false">
      <c r="A30" s="12" t="s">
        <v>171</v>
      </c>
      <c r="B30" s="37" t="n">
        <f aca="false">Inputs!$C$31</f>
        <v>5</v>
      </c>
      <c r="C30" s="3" t="s">
        <v>94</v>
      </c>
    </row>
    <row r="31" customFormat="false" ht="15" hidden="false" customHeight="false" outlineLevel="0" collapsed="false">
      <c r="A31" s="12" t="s">
        <v>172</v>
      </c>
      <c r="B31" s="36" t="n">
        <f aca="false">(Valuation!$B$30*Valuation!$B$29-Valuation!$B$25)/Valuation!$B$7</f>
        <v>11.2171381031614</v>
      </c>
      <c r="C31" s="3"/>
    </row>
    <row r="32" customFormat="false" ht="15" hidden="false" customHeight="false" outlineLevel="0" collapsed="false">
      <c r="A32" s="12" t="s">
        <v>173</v>
      </c>
      <c r="B32" s="33" t="n">
        <f aca="false">Valuation!$B$10*1000000/Inputs!$C$42</f>
        <v>86155.4588235294</v>
      </c>
      <c r="C32" s="3" t="s">
        <v>174</v>
      </c>
    </row>
    <row r="33" customFormat="false" ht="15" hidden="false" customHeight="false" outlineLevel="0" collapsed="false">
      <c r="A33" s="14" t="s">
        <v>175</v>
      </c>
      <c r="B33" s="15"/>
      <c r="C33" s="15"/>
    </row>
    <row r="34" customFormat="false" ht="15" hidden="false" customHeight="false" outlineLevel="0" collapsed="false">
      <c r="A34" s="12" t="s">
        <v>176</v>
      </c>
      <c r="B34" s="34" t="n">
        <f aca="false">Inputs!$C$29</f>
        <v>0.5</v>
      </c>
      <c r="C34" s="3"/>
    </row>
    <row r="35" customFormat="false" ht="15" hidden="false" customHeight="false" outlineLevel="0" collapsed="false">
      <c r="A35" s="12" t="s">
        <v>177</v>
      </c>
      <c r="B35" s="38" t="n">
        <f aca="false">1-Inputs!$C$29</f>
        <v>0.5</v>
      </c>
      <c r="C35" s="3"/>
    </row>
    <row r="36" customFormat="false" ht="15" hidden="false" customHeight="false" outlineLevel="0" collapsed="false">
      <c r="A36" s="12" t="s">
        <v>178</v>
      </c>
      <c r="B36" s="36" t="n">
        <f aca="false">Valuation!$B$34*Valuation!$B$28+Valuation!$B$35*Valuation!$B$31</f>
        <v>11.7254575707155</v>
      </c>
      <c r="C36" s="3"/>
    </row>
    <row r="37" customFormat="false" ht="15" hidden="false" customHeight="false" outlineLevel="0" collapsed="false">
      <c r="A37" s="12" t="s">
        <v>179</v>
      </c>
      <c r="B37" s="36" t="n">
        <f aca="false">Valuation!$B$36/Inputs!$C$22</f>
        <v>8.36337915172288</v>
      </c>
      <c r="C37" s="3" t="s">
        <v>180</v>
      </c>
    </row>
    <row r="38" customFormat="false" ht="15" hidden="false" customHeight="false" outlineLevel="0" collapsed="false">
      <c r="A38" s="12" t="s">
        <v>181</v>
      </c>
      <c r="B38" s="39" t="n">
        <f aca="false">MROUND(Valuation!$B$37,Inputs!$C$33)</f>
        <v>8.25</v>
      </c>
      <c r="C38" s="3" t="s">
        <v>182</v>
      </c>
    </row>
    <row r="39" customFormat="false" ht="15" hidden="false" customHeight="false" outlineLevel="0" collapsed="false">
      <c r="A39" s="12" t="s">
        <v>183</v>
      </c>
      <c r="B39" s="30" t="n">
        <f aca="false">Inputs!$C$32</f>
        <v>0</v>
      </c>
      <c r="C39" s="3" t="s">
        <v>96</v>
      </c>
    </row>
    <row r="40" customFormat="false" ht="15" hidden="false" customHeight="false" outlineLevel="0" collapsed="false">
      <c r="A40" s="12" t="s">
        <v>184</v>
      </c>
      <c r="B40" s="35" t="n">
        <f aca="false">Valuation!$B$38/Valuation!$B$5-1</f>
        <v>0.178571428571429</v>
      </c>
      <c r="C40" s="3"/>
    </row>
    <row r="41" customFormat="false" ht="15" hidden="false" customHeight="false" outlineLevel="0" collapsed="false">
      <c r="A41" s="12" t="s">
        <v>185</v>
      </c>
      <c r="B41" s="35" t="n">
        <f aca="false">Valuation!$B$39/Valuation!$B$5</f>
        <v>0</v>
      </c>
      <c r="C41" s="3"/>
    </row>
    <row r="42" customFormat="false" ht="15" hidden="false" customHeight="false" outlineLevel="0" collapsed="false">
      <c r="A42" s="12" t="s">
        <v>6</v>
      </c>
      <c r="B42" s="35" t="n">
        <f aca="false">Valuation!$B$40+Valuation!$B$41</f>
        <v>0.178571428571429</v>
      </c>
      <c r="C42" s="3" t="s">
        <v>186</v>
      </c>
    </row>
    <row r="43" customFormat="false" ht="15" hidden="false" customHeight="false" outlineLevel="0" collapsed="false">
      <c r="A43" s="12" t="s">
        <v>3</v>
      </c>
      <c r="B43" s="40" t="str">
        <f aca="false">IF(Valuation!$B$42&gt;Inputs!$C$34,"Buy",IF(Valuation!$B$42&gt;=0,"Hold","Sell"))</f>
        <v>Buy</v>
      </c>
      <c r="C43" s="3"/>
    </row>
    <row r="45" customFormat="false" ht="15" hidden="false" customHeight="false" outlineLevel="0" collapsed="false">
      <c r="A45" s="14" t="s">
        <v>187</v>
      </c>
      <c r="B45" s="15"/>
      <c r="C45" s="15"/>
    </row>
    <row r="46" customFormat="false" ht="15" hidden="false" customHeight="false" outlineLevel="0" collapsed="false">
      <c r="A46" s="3" t="s">
        <v>188</v>
      </c>
    </row>
    <row r="47" customFormat="false" ht="15" hidden="false" customHeight="false" outlineLevel="0" collapsed="false">
      <c r="A47" s="4" t="s">
        <v>189</v>
      </c>
      <c r="B47" s="4" t="s">
        <v>46</v>
      </c>
      <c r="C47" s="4" t="s">
        <v>47</v>
      </c>
      <c r="D47" s="4" t="s">
        <v>48</v>
      </c>
      <c r="E47" s="4" t="s">
        <v>49</v>
      </c>
    </row>
    <row r="48" customFormat="false" ht="15" hidden="false" customHeight="false" outlineLevel="0" collapsed="false">
      <c r="A48" s="12" t="s">
        <v>190</v>
      </c>
      <c r="B48" s="41" t="n">
        <f aca="false">Model!$G$17</f>
        <v>315.32</v>
      </c>
      <c r="C48" s="41" t="n">
        <f aca="false">Model!$H$17</f>
        <v>284.9636</v>
      </c>
      <c r="D48" s="41" t="n">
        <f aca="false">Model!$I$17</f>
        <v>293.125</v>
      </c>
      <c r="E48" s="41" t="n">
        <f aca="false">Model!$J$17</f>
        <v>340.575</v>
      </c>
    </row>
    <row r="49" customFormat="false" ht="15" hidden="false" customHeight="false" outlineLevel="0" collapsed="false">
      <c r="A49" s="12" t="s">
        <v>191</v>
      </c>
      <c r="B49" s="42" t="n">
        <f aca="false">1/(1+Valuation!$B$20)^1</f>
        <v>0.905495723469549</v>
      </c>
      <c r="C49" s="42" t="n">
        <f aca="false">1/(1+Valuation!$B$20)^2</f>
        <v>0.819922505221642</v>
      </c>
      <c r="D49" s="42" t="n">
        <f aca="false">1/(1+Valuation!$B$20)^3</f>
        <v>0.742436322054636</v>
      </c>
      <c r="E49" s="42" t="n">
        <f aca="false">1/(1+Valuation!$B$20)^4</f>
        <v>0.672272914568934</v>
      </c>
    </row>
    <row r="50" customFormat="false" ht="15" hidden="false" customHeight="false" outlineLevel="0" collapsed="false">
      <c r="A50" s="12" t="s">
        <v>192</v>
      </c>
      <c r="B50" s="43" t="n">
        <f aca="false">B48*B49</f>
        <v>285.520911524418</v>
      </c>
      <c r="C50" s="43" t="n">
        <f aca="false">C48*C49</f>
        <v>233.648068808978</v>
      </c>
      <c r="D50" s="43" t="n">
        <f aca="false">D48*D49</f>
        <v>217.626646902265</v>
      </c>
      <c r="E50" s="43" t="n">
        <f aca="false">E48*E49</f>
        <v>228.959347879315</v>
      </c>
    </row>
    <row r="52" customFormat="false" ht="15" hidden="false" customHeight="false" outlineLevel="0" collapsed="false">
      <c r="A52" s="12" t="s">
        <v>193</v>
      </c>
      <c r="B52" s="34" t="n">
        <f aca="false">Inputs!$C$35</f>
        <v>0</v>
      </c>
      <c r="C52" s="3" t="s">
        <v>102</v>
      </c>
    </row>
    <row r="53" customFormat="false" ht="15" hidden="false" customHeight="false" outlineLevel="0" collapsed="false">
      <c r="A53" s="12" t="s">
        <v>194</v>
      </c>
      <c r="B53" s="31" t="n">
        <f aca="false">SUM(B50:E50)</f>
        <v>965.754975114976</v>
      </c>
      <c r="C53" s="3"/>
    </row>
    <row r="54" customFormat="false" ht="15" hidden="false" customHeight="false" outlineLevel="0" collapsed="false">
      <c r="A54" s="12" t="s">
        <v>195</v>
      </c>
      <c r="B54" s="31" t="n">
        <f aca="false">E48*(1+Valuation!$B$52)/(Valuation!$B$20-Valuation!$B$52)</f>
        <v>3263.2301663224</v>
      </c>
      <c r="C54" s="3" t="s">
        <v>196</v>
      </c>
    </row>
    <row r="55" customFormat="false" ht="15" hidden="false" customHeight="false" outlineLevel="0" collapsed="false">
      <c r="A55" s="12" t="s">
        <v>197</v>
      </c>
      <c r="B55" s="33" t="n">
        <f aca="false">Valuation!$B$54*E49</f>
        <v>2193.78125482283</v>
      </c>
      <c r="C55" s="3"/>
    </row>
    <row r="56" customFormat="false" ht="15" hidden="false" customHeight="false" outlineLevel="0" collapsed="false">
      <c r="A56" s="12" t="s">
        <v>198</v>
      </c>
      <c r="B56" s="33" t="n">
        <f aca="false">Valuation!$B$53+Valuation!$B$55</f>
        <v>3159.5362299378</v>
      </c>
      <c r="C56" s="3"/>
    </row>
    <row r="57" customFormat="false" ht="15" hidden="false" customHeight="false" outlineLevel="0" collapsed="false">
      <c r="A57" s="12" t="s">
        <v>199</v>
      </c>
      <c r="B57" s="32" t="n">
        <f aca="false">Model!$F$19</f>
        <v>530</v>
      </c>
      <c r="C57" s="3" t="s">
        <v>200</v>
      </c>
    </row>
    <row r="58" customFormat="false" ht="15" hidden="false" customHeight="false" outlineLevel="0" collapsed="false">
      <c r="A58" s="12" t="s">
        <v>201</v>
      </c>
      <c r="B58" s="32" t="n">
        <f aca="false">Inputs!$C$36</f>
        <v>0</v>
      </c>
      <c r="C58" s="3"/>
    </row>
    <row r="59" customFormat="false" ht="15" hidden="false" customHeight="false" outlineLevel="0" collapsed="false">
      <c r="A59" s="12" t="s">
        <v>202</v>
      </c>
      <c r="B59" s="36" t="n">
        <f aca="false">(Valuation!$B$56-Valuation!$B$57+Valuation!$B$58)/Valuation!$B$7</f>
        <v>10.9381706736181</v>
      </c>
      <c r="C59" s="3" t="s">
        <v>203</v>
      </c>
    </row>
    <row r="60" customFormat="false" ht="15" hidden="false" customHeight="false" outlineLevel="0" collapsed="false">
      <c r="A60" s="12" t="s">
        <v>204</v>
      </c>
      <c r="B60" s="35" t="n">
        <f aca="false">Valuation!$B$59/Valuation!$B$6-1</f>
        <v>0.114547653721025</v>
      </c>
      <c r="C60" s="3"/>
    </row>
    <row r="61" customFormat="false" ht="15" hidden="false" customHeight="false" outlineLevel="0" collapsed="false">
      <c r="A61" s="12" t="s">
        <v>205</v>
      </c>
      <c r="B61" s="35" t="n">
        <f aca="false">Valuation!$B$55/Valuation!$B$56</f>
        <v>0.694336476991755</v>
      </c>
      <c r="C61" s="3" t="s">
        <v>206</v>
      </c>
    </row>
    <row r="63" customFormat="false" ht="15" hidden="false" customHeight="false" outlineLevel="0" collapsed="false">
      <c r="A63" s="14" t="s">
        <v>207</v>
      </c>
      <c r="B63" s="15"/>
      <c r="C63" s="15"/>
    </row>
    <row r="64" customFormat="false" ht="15" hidden="false" customHeight="false" outlineLevel="0" collapsed="false">
      <c r="A64" s="12" t="s">
        <v>208</v>
      </c>
      <c r="B64" s="30" t="n">
        <f aca="false">Model!$G$14</f>
        <v>2.49717138103161</v>
      </c>
      <c r="C64" s="3" t="s">
        <v>209</v>
      </c>
    </row>
    <row r="65" customFormat="false" ht="15" hidden="false" customHeight="false" outlineLevel="0" collapsed="false">
      <c r="A65" s="12" t="s">
        <v>210</v>
      </c>
      <c r="B65" s="35" t="n">
        <f aca="false">Valuation!$B$16-Valuation!$B$64/Valuation!$B$6</f>
        <v>-0.139749906361485</v>
      </c>
      <c r="C65" s="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3" t="s">
        <v>212</v>
      </c>
    </row>
    <row r="2" customFormat="false" ht="15" hidden="false" customHeight="false" outlineLevel="0" collapsed="false">
      <c r="A2" s="3" t="s">
        <v>213</v>
      </c>
    </row>
    <row r="4" customFormat="false" ht="15" hidden="false" customHeight="false" outlineLevel="0" collapsed="false">
      <c r="A4" s="14" t="s">
        <v>214</v>
      </c>
      <c r="B4" s="15"/>
      <c r="C4" s="15"/>
      <c r="D4" s="15"/>
      <c r="E4" s="15"/>
      <c r="F4" s="15"/>
      <c r="G4" s="15"/>
      <c r="H4" s="15"/>
    </row>
    <row r="5" customFormat="false" ht="15" hidden="false" customHeight="false" outlineLevel="0" collapsed="false">
      <c r="A5" s="3" t="s">
        <v>215</v>
      </c>
      <c r="B5" s="44" t="n">
        <v>4</v>
      </c>
      <c r="C5" s="44" t="n">
        <v>4.5</v>
      </c>
      <c r="D5" s="44" t="n">
        <v>5</v>
      </c>
      <c r="E5" s="44" t="n">
        <v>5.5</v>
      </c>
      <c r="F5" s="44" t="n">
        <v>6</v>
      </c>
    </row>
    <row r="6" customFormat="false" ht="15" hidden="false" customHeight="false" outlineLevel="0" collapsed="false">
      <c r="A6" s="45" t="n">
        <v>0.7</v>
      </c>
      <c r="B6" s="46" t="n">
        <f aca="false">(Inputs!$C$29*$A6*Valuation!$B$26+(1-Inputs!$C$29)*(B$5*Valuation!$B$29-Valuation!$B$25)/Valuation!$B$7)/Inputs!$C$22</f>
        <v>6.63611052430448</v>
      </c>
      <c r="C6" s="46" t="n">
        <f aca="false">(Inputs!$C$29*$A6*Valuation!$B$26+(1-Inputs!$C$29)*(C$5*Valuation!$B$29-Valuation!$B$25)/Valuation!$B$7)/Inputs!$C$22</f>
        <v>7.11477660864797</v>
      </c>
      <c r="D6" s="46" t="n">
        <f aca="false">(Inputs!$C$29*$A6*Valuation!$B$26+(1-Inputs!$C$29)*(D$5*Valuation!$B$29-Valuation!$B$25)/Valuation!$B$7)/Inputs!$C$22</f>
        <v>7.59344269299147</v>
      </c>
      <c r="E6" s="46" t="n">
        <f aca="false">(Inputs!$C$29*$A6*Valuation!$B$26+(1-Inputs!$C$29)*(E$5*Valuation!$B$29-Valuation!$B$25)/Valuation!$B$7)/Inputs!$C$22</f>
        <v>8.07210877733497</v>
      </c>
      <c r="F6" s="46" t="n">
        <f aca="false">(Inputs!$C$29*$A6*Valuation!$B$26+(1-Inputs!$C$29)*(F$5*Valuation!$B$29-Valuation!$B$25)/Valuation!$B$7)/Inputs!$C$22</f>
        <v>8.55077486167847</v>
      </c>
    </row>
    <row r="7" customFormat="false" ht="15" hidden="false" customHeight="false" outlineLevel="0" collapsed="false">
      <c r="A7" s="45" t="n">
        <v>0.775</v>
      </c>
      <c r="B7" s="46" t="n">
        <f aca="false">(Inputs!$C$29*$A7*Valuation!$B$26+(1-Inputs!$C$29)*(B$5*Valuation!$B$29-Valuation!$B$25)/Valuation!$B$7)/Inputs!$C$22</f>
        <v>7.02107875367018</v>
      </c>
      <c r="C7" s="46" t="n">
        <f aca="false">(Inputs!$C$29*$A7*Valuation!$B$26+(1-Inputs!$C$29)*(C$5*Valuation!$B$29-Valuation!$B$25)/Valuation!$B$7)/Inputs!$C$22</f>
        <v>7.49974483801368</v>
      </c>
      <c r="D7" s="46" t="n">
        <f aca="false">(Inputs!$C$29*$A7*Valuation!$B$26+(1-Inputs!$C$29)*(D$5*Valuation!$B$29-Valuation!$B$25)/Valuation!$B$7)/Inputs!$C$22</f>
        <v>7.97841092235718</v>
      </c>
      <c r="E7" s="46" t="n">
        <f aca="false">(Inputs!$C$29*$A7*Valuation!$B$26+(1-Inputs!$C$29)*(E$5*Valuation!$B$29-Valuation!$B$25)/Valuation!$B$7)/Inputs!$C$22</f>
        <v>8.45707700670067</v>
      </c>
      <c r="F7" s="46" t="n">
        <f aca="false">(Inputs!$C$29*$A7*Valuation!$B$26+(1-Inputs!$C$29)*(F$5*Valuation!$B$29-Valuation!$B$25)/Valuation!$B$7)/Inputs!$C$22</f>
        <v>8.93574309104417</v>
      </c>
    </row>
    <row r="8" customFormat="false" ht="15" hidden="false" customHeight="false" outlineLevel="0" collapsed="false">
      <c r="A8" s="45" t="n">
        <v>0.85</v>
      </c>
      <c r="B8" s="46" t="n">
        <f aca="false">(Inputs!$C$29*$A8*Valuation!$B$26+(1-Inputs!$C$29)*(B$5*Valuation!$B$29-Valuation!$B$25)/Valuation!$B$7)/Inputs!$C$22</f>
        <v>7.40604698303588</v>
      </c>
      <c r="C8" s="46" t="n">
        <f aca="false">(Inputs!$C$29*$A8*Valuation!$B$26+(1-Inputs!$C$29)*(C$5*Valuation!$B$29-Valuation!$B$25)/Valuation!$B$7)/Inputs!$C$22</f>
        <v>7.88471306737938</v>
      </c>
      <c r="D8" s="46" t="n">
        <f aca="false">(Inputs!$C$29*$A8*Valuation!$B$26+(1-Inputs!$C$29)*(D$5*Valuation!$B$29-Valuation!$B$25)/Valuation!$B$7)/Inputs!$C$22</f>
        <v>8.36337915172288</v>
      </c>
      <c r="E8" s="46" t="n">
        <f aca="false">(Inputs!$C$29*$A8*Valuation!$B$26+(1-Inputs!$C$29)*(E$5*Valuation!$B$29-Valuation!$B$25)/Valuation!$B$7)/Inputs!$C$22</f>
        <v>8.84204523606638</v>
      </c>
      <c r="F8" s="46" t="n">
        <f aca="false">(Inputs!$C$29*$A8*Valuation!$B$26+(1-Inputs!$C$29)*(F$5*Valuation!$B$29-Valuation!$B$25)/Valuation!$B$7)/Inputs!$C$22</f>
        <v>9.32071132040987</v>
      </c>
    </row>
    <row r="9" customFormat="false" ht="15" hidden="false" customHeight="false" outlineLevel="0" collapsed="false">
      <c r="A9" s="45" t="n">
        <v>0.925</v>
      </c>
      <c r="B9" s="46" t="n">
        <f aca="false">(Inputs!$C$29*$A9*Valuation!$B$26+(1-Inputs!$C$29)*(B$5*Valuation!$B$29-Valuation!$B$25)/Valuation!$B$7)/Inputs!$C$22</f>
        <v>7.79101521240159</v>
      </c>
      <c r="C9" s="46" t="n">
        <f aca="false">(Inputs!$C$29*$A9*Valuation!$B$26+(1-Inputs!$C$29)*(C$5*Valuation!$B$29-Valuation!$B$25)/Valuation!$B$7)/Inputs!$C$22</f>
        <v>8.26968129674508</v>
      </c>
      <c r="D9" s="46" t="n">
        <f aca="false">(Inputs!$C$29*$A9*Valuation!$B$26+(1-Inputs!$C$29)*(D$5*Valuation!$B$29-Valuation!$B$25)/Valuation!$B$7)/Inputs!$C$22</f>
        <v>8.74834738108858</v>
      </c>
      <c r="E9" s="46" t="n">
        <f aca="false">(Inputs!$C$29*$A9*Valuation!$B$26+(1-Inputs!$C$29)*(E$5*Valuation!$B$29-Valuation!$B$25)/Valuation!$B$7)/Inputs!$C$22</f>
        <v>9.22701346543208</v>
      </c>
      <c r="F9" s="46" t="n">
        <f aca="false">(Inputs!$C$29*$A9*Valuation!$B$26+(1-Inputs!$C$29)*(F$5*Valuation!$B$29-Valuation!$B$25)/Valuation!$B$7)/Inputs!$C$22</f>
        <v>9.70567954977558</v>
      </c>
    </row>
    <row r="10" customFormat="false" ht="15" hidden="false" customHeight="false" outlineLevel="0" collapsed="false">
      <c r="A10" s="45" t="n">
        <v>1</v>
      </c>
      <c r="B10" s="46" t="n">
        <f aca="false">(Inputs!$C$29*$A10*Valuation!$B$26+(1-Inputs!$C$29)*(B$5*Valuation!$B$29-Valuation!$B$25)/Valuation!$B$7)/Inputs!$C$22</f>
        <v>8.17598344176729</v>
      </c>
      <c r="C10" s="46" t="n">
        <f aca="false">(Inputs!$C$29*$A10*Valuation!$B$26+(1-Inputs!$C$29)*(C$5*Valuation!$B$29-Valuation!$B$25)/Valuation!$B$7)/Inputs!$C$22</f>
        <v>8.65464952611079</v>
      </c>
      <c r="D10" s="46" t="n">
        <f aca="false">(Inputs!$C$29*$A10*Valuation!$B$26+(1-Inputs!$C$29)*(D$5*Valuation!$B$29-Valuation!$B$25)/Valuation!$B$7)/Inputs!$C$22</f>
        <v>9.13331561045428</v>
      </c>
      <c r="E10" s="46" t="n">
        <f aca="false">(Inputs!$C$29*$A10*Valuation!$B$26+(1-Inputs!$C$29)*(E$5*Valuation!$B$29-Valuation!$B$25)/Valuation!$B$7)/Inputs!$C$22</f>
        <v>9.61198169479778</v>
      </c>
      <c r="F10" s="46" t="n">
        <f aca="false">(Inputs!$C$29*$A10*Valuation!$B$26+(1-Inputs!$C$29)*(F$5*Valuation!$B$29-Valuation!$B$25)/Valuation!$B$7)/Inputs!$C$22</f>
        <v>10.0906477791413</v>
      </c>
    </row>
    <row r="13" customFormat="false" ht="15" hidden="false" customHeight="false" outlineLevel="0" collapsed="false">
      <c r="A13" s="14" t="s">
        <v>216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47" t="n">
        <v>0</v>
      </c>
      <c r="C14" s="47" t="n">
        <v>0.01</v>
      </c>
      <c r="D14" s="47" t="n">
        <v>0.02</v>
      </c>
      <c r="E14" s="47" t="n">
        <v>0.03</v>
      </c>
    </row>
    <row r="15" customFormat="false" ht="15" hidden="false" customHeight="false" outlineLevel="0" collapsed="false">
      <c r="A15" s="47" t="n">
        <v>0.06</v>
      </c>
      <c r="B15" s="46" t="n">
        <f aca="false">(Valuation!B48/(1+$A15)^1+Valuation!C48/(1+$A15)^2+Valuation!D48/(1+$A15)^3+Valuation!E48/(1+$A15)^4+Valuation!E48*(1+B$14)/($A15-B$14)/(1+$A15)^4-Valuation!$B$57+Valuation!$B$58)/Valuation!$B$7</f>
        <v>20.9363171601406</v>
      </c>
      <c r="C15" s="46" t="n">
        <f aca="false">(Valuation!B48/(1+$A15)^1+Valuation!C48/(1+$A15)^2+Valuation!D48/(1+$A15)^3+Valuation!E48/(1+$A15)^4+Valuation!E48*(1+C$14)/($A15-C$14)/(1+$A15)^4-Valuation!$B$57+Valuation!$B$58)/Valuation!$B$7</f>
        <v>24.9012830131457</v>
      </c>
      <c r="D15" s="46" t="n">
        <f aca="false">(Valuation!B48/(1+$A15)^1+Valuation!C48/(1+$A15)^2+Valuation!D48/(1+$A15)^3+Valuation!E48/(1+$A15)^4+Valuation!E48*(1+D$14)/($A15-D$14)/(1+$A15)^4-Valuation!$B$57+Valuation!$B$58)/Valuation!$B$7</f>
        <v>30.8487317926533</v>
      </c>
      <c r="E15" s="46" t="n">
        <f aca="false">(Valuation!B48/(1+$A15)^1+Valuation!C48/(1+$A15)^2+Valuation!D48/(1+$A15)^3+Valuation!E48/(1+$A15)^4+Valuation!E48*(1+E$14)/($A15-E$14)/(1+$A15)^4-Valuation!$B$57+Valuation!$B$58)/Valuation!$B$7</f>
        <v>40.761146425166</v>
      </c>
    </row>
    <row r="16" customFormat="false" ht="15" hidden="false" customHeight="false" outlineLevel="0" collapsed="false">
      <c r="A16" s="47" t="n">
        <v>0.07</v>
      </c>
      <c r="B16" s="46" t="n">
        <f aca="false">(Valuation!B48/(1+$A16)^1+Valuation!C48/(1+$A16)^2+Valuation!D48/(1+$A16)^3+Valuation!E48/(1+$A16)^4+Valuation!E48*(1+B$14)/($A16-B$14)/(1+$A16)^4-Valuation!$B$57+Valuation!$B$58)/Valuation!$B$7</f>
        <v>17.5725784291467</v>
      </c>
      <c r="C16" s="46" t="n">
        <f aca="false">(Valuation!B48/(1+$A16)^1+Valuation!C48/(1+$A16)^2+Valuation!D48/(1+$A16)^3+Valuation!E48/(1+$A16)^4+Valuation!E48*(1+C$14)/($A16-C$14)/(1+$A16)^4-Valuation!$B$57+Valuation!$B$58)/Valuation!$B$7</f>
        <v>20.3260314976644</v>
      </c>
      <c r="D16" s="46" t="n">
        <f aca="false">(Valuation!B48/(1+$A16)^1+Valuation!C48/(1+$A16)^2+Valuation!D48/(1+$A16)^3+Valuation!E48/(1+$A16)^4+Valuation!E48*(1+D$14)/($A16-D$14)/(1+$A16)^4-Valuation!$B$57+Valuation!$B$58)/Valuation!$B$7</f>
        <v>24.1808657935893</v>
      </c>
      <c r="E16" s="46" t="n">
        <f aca="false">(Valuation!B48/(1+$A16)^1+Valuation!C48/(1+$A16)^2+Valuation!D48/(1+$A16)^3+Valuation!E48/(1+$A16)^4+Valuation!E48*(1+E$14)/($A16-E$14)/(1+$A16)^4-Valuation!$B$57+Valuation!$B$58)/Valuation!$B$7</f>
        <v>29.9631172374766</v>
      </c>
    </row>
    <row r="17" customFormat="false" ht="15" hidden="false" customHeight="false" outlineLevel="0" collapsed="false">
      <c r="A17" s="47" t="n">
        <v>0.08</v>
      </c>
      <c r="B17" s="46" t="n">
        <f aca="false">(Valuation!B48/(1+$A17)^1+Valuation!C48/(1+$A17)^2+Valuation!D48/(1+$A17)^3+Valuation!E48/(1+$A17)^4+Valuation!E48*(1+B$14)/($A17-B$14)/(1+$A17)^4-Valuation!$B$57+Valuation!$B$58)/Valuation!$B$7</f>
        <v>15.051822332916</v>
      </c>
      <c r="C17" s="46" t="n">
        <f aca="false">(Valuation!B48/(1+$A17)^1+Valuation!C48/(1+$A17)^2+Valuation!D48/(1+$A17)^3+Valuation!E48/(1+$A17)^4+Valuation!E48*(1+C$14)/($A17-C$14)/(1+$A17)^4-Valuation!$B$57+Valuation!$B$58)/Valuation!$B$7</f>
        <v>17.0600780338716</v>
      </c>
      <c r="D17" s="46" t="n">
        <f aca="false">(Valuation!B48/(1+$A17)^1+Valuation!C48/(1+$A17)^2+Valuation!D48/(1+$A17)^3+Valuation!E48/(1+$A17)^4+Valuation!E48*(1+D$14)/($A17-D$14)/(1+$A17)^4-Valuation!$B$57+Valuation!$B$58)/Valuation!$B$7</f>
        <v>19.7377523018123</v>
      </c>
      <c r="E17" s="46" t="n">
        <f aca="false">(Valuation!B48/(1+$A17)^1+Valuation!C48/(1+$A17)^2+Valuation!D48/(1+$A17)^3+Valuation!E48/(1+$A17)^4+Valuation!E48*(1+E$14)/($A17-E$14)/(1+$A17)^4-Valuation!$B$57+Valuation!$B$58)/Valuation!$B$7</f>
        <v>23.4864962769294</v>
      </c>
    </row>
    <row r="18" customFormat="false" ht="15" hidden="false" customHeight="false" outlineLevel="0" collapsed="false">
      <c r="A18" s="47" t="n">
        <v>0.09</v>
      </c>
      <c r="B18" s="46" t="n">
        <f aca="false">(Valuation!B48/(1+$A18)^1+Valuation!C48/(1+$A18)^2+Valuation!D48/(1+$A18)^3+Valuation!E48/(1+$A18)^4+Valuation!E48*(1+B$14)/($A18-B$14)/(1+$A18)^4-Valuation!$B$57+Valuation!$B$58)/Valuation!$B$7</f>
        <v>13.0929693551979</v>
      </c>
      <c r="C18" s="46" t="n">
        <f aca="false">(Valuation!B48/(1+$A18)^1+Valuation!C48/(1+$A18)^2+Valuation!D48/(1+$A18)^3+Valuation!E48/(1+$A18)^4+Valuation!E48*(1+C$14)/($A18-C$14)/(1+$A18)^4-Valuation!$B$57+Valuation!$B$58)/Valuation!$B$7</f>
        <v>14.6123490275137</v>
      </c>
      <c r="D18" s="46" t="n">
        <f aca="false">(Valuation!B48/(1+$A18)^1+Valuation!C48/(1+$A18)^2+Valuation!D48/(1+$A18)^3+Valuation!E48/(1+$A18)^4+Valuation!E48*(1+D$14)/($A18-D$14)/(1+$A18)^4-Valuation!$B$57+Valuation!$B$58)/Valuation!$B$7</f>
        <v>16.565837177634</v>
      </c>
      <c r="E18" s="46" t="n">
        <f aca="false">(Valuation!B48/(1+$A18)^1+Valuation!C48/(1+$A18)^2+Valuation!D48/(1+$A18)^3+Valuation!E48/(1+$A18)^4+Valuation!E48*(1+E$14)/($A18-E$14)/(1+$A18)^4-Valuation!$B$57+Valuation!$B$58)/Valuation!$B$7</f>
        <v>19.1704880444611</v>
      </c>
    </row>
    <row r="19" customFormat="false" ht="15" hidden="false" customHeight="false" outlineLevel="0" collapsed="false">
      <c r="A19" s="47" t="n">
        <v>0.1</v>
      </c>
      <c r="B19" s="46" t="n">
        <f aca="false">(Valuation!B48/(1+$A19)^1+Valuation!C48/(1+$A19)^2+Valuation!D48/(1+$A19)^3+Valuation!E48/(1+$A19)^4+Valuation!E48*(1+B$14)/($A19-B$14)/(1+$A19)^4-Valuation!$B$57+Valuation!$B$58)/Valuation!$B$7</f>
        <v>11.5273759861788</v>
      </c>
      <c r="C19" s="46" t="n">
        <f aca="false">(Valuation!B48/(1+$A19)^1+Valuation!C48/(1+$A19)^2+Valuation!D48/(1+$A19)^3+Valuation!E48/(1+$A19)^4+Valuation!E48*(1+C$14)/($A19-C$14)/(1+$A19)^4-Valuation!$B$57+Valuation!$B$58)/Valuation!$B$7</f>
        <v>12.7100300734272</v>
      </c>
      <c r="D19" s="46" t="n">
        <f aca="false">(Valuation!B48/(1+$A19)^1+Valuation!C48/(1+$A19)^2+Valuation!D48/(1+$A19)^3+Valuation!E48/(1+$A19)^4+Valuation!E48*(1+D$14)/($A19-D$14)/(1+$A19)^4-Valuation!$B$57+Valuation!$B$58)/Valuation!$B$7</f>
        <v>14.1883476824876</v>
      </c>
      <c r="E19" s="46" t="n">
        <f aca="false">(Valuation!B48/(1+$A19)^1+Valuation!C48/(1+$A19)^2+Valuation!D48/(1+$A19)^3+Valuation!E48/(1+$A19)^4+Valuation!E48*(1+E$14)/($A19-E$14)/(1+$A19)^4-Valuation!$B$57+Valuation!$B$58)/Valuation!$B$7</f>
        <v>16.0890417512796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3" t="s">
        <v>217</v>
      </c>
    </row>
    <row r="2" customFormat="false" ht="15" hidden="false" customHeight="false" outlineLevel="0" collapsed="false">
      <c r="A2" s="3" t="s">
        <v>218</v>
      </c>
    </row>
    <row r="4" customFormat="false" ht="15" hidden="false" customHeight="false" outlineLevel="0" collapsed="false">
      <c r="A4" s="16" t="s">
        <v>219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220</v>
      </c>
    </row>
    <row r="5" customFormat="false" ht="15" hidden="false" customHeight="false" outlineLevel="0" collapsed="false">
      <c r="A5" s="12" t="s">
        <v>140</v>
      </c>
      <c r="B5" s="12"/>
      <c r="G5" s="48" t="n">
        <f aca="false">IFERROR(Model!F19/Model!G10,"")</f>
        <v>0.821297960701667</v>
      </c>
      <c r="H5" s="48" t="n">
        <f aca="false">IFERROR(Model!G19/Model!H10,"")</f>
        <v>0.443925057901039</v>
      </c>
      <c r="I5" s="48" t="n">
        <f aca="false">IFERROR(Model!H19/Model!I10,"")</f>
        <v>0.0214396628029503</v>
      </c>
      <c r="J5" s="48" t="n">
        <f aca="false">IFERROR(Model!I19/Model!J10,"")</f>
        <v>-0.387790032392772</v>
      </c>
      <c r="K5" s="3"/>
    </row>
    <row r="6" customFormat="false" ht="15" hidden="false" customHeight="false" outlineLevel="0" collapsed="false">
      <c r="A6" s="12" t="s">
        <v>221</v>
      </c>
      <c r="B6" s="12"/>
      <c r="C6" s="49" t="n">
        <f aca="false">IFERROR(Model!C15/Model!C12,"")</f>
        <v>0.779094076655052</v>
      </c>
      <c r="G6" s="49" t="n">
        <f aca="false">IFERROR(Model!G15/Model!G12,"")</f>
        <v>0.549706823027718</v>
      </c>
      <c r="H6" s="49" t="n">
        <f aca="false">IFERROR(Model!H15/Model!H12,"")</f>
        <v>0.54848256812702</v>
      </c>
      <c r="I6" s="49" t="n">
        <f aca="false">IFERROR(Model!I15/Model!I12,"")</f>
        <v>0.534640231677434</v>
      </c>
      <c r="J6" s="49" t="n">
        <f aca="false">IFERROR(Model!J15/Model!J12,"")</f>
        <v>0.488142212097791</v>
      </c>
      <c r="K6" s="3"/>
    </row>
    <row r="7" customFormat="false" ht="15" hidden="false" customHeight="false" outlineLevel="0" collapsed="false">
      <c r="A7" s="12" t="s">
        <v>222</v>
      </c>
      <c r="B7" s="12"/>
      <c r="C7" s="49" t="n">
        <f aca="false">IFERROR(Model!C16/Model!C12,"")</f>
        <v>0.220905923344948</v>
      </c>
      <c r="G7" s="49" t="n">
        <f aca="false">IFERROR(Model!G16/Model!G12,"")</f>
        <v>0.450293176972282</v>
      </c>
      <c r="H7" s="49" t="n">
        <f aca="false">IFERROR(Model!H16/Model!H12,"")</f>
        <v>0.45151743187298</v>
      </c>
      <c r="I7" s="49" t="n">
        <f aca="false">IFERROR(Model!I16/Model!I12,"")</f>
        <v>0.465359768322566</v>
      </c>
      <c r="J7" s="49" t="n">
        <f aca="false">IFERROR(Model!J16/Model!J12,"")</f>
        <v>0.511857787902209</v>
      </c>
      <c r="K7" s="3"/>
    </row>
    <row r="8" customFormat="false" ht="15" hidden="false" customHeight="false" outlineLevel="0" collapsed="false">
      <c r="A8" s="12" t="s">
        <v>223</v>
      </c>
      <c r="B8" s="12"/>
      <c r="G8" s="48" t="n">
        <f aca="false">IFERROR(Model!G8,"")</f>
        <v>44.2</v>
      </c>
      <c r="H8" s="48" t="n">
        <f aca="false">IFERROR(Model!H8,"")</f>
        <v>34.84</v>
      </c>
      <c r="I8" s="48" t="n">
        <f aca="false">IFERROR(Model!I8,"")</f>
        <v>32.5</v>
      </c>
      <c r="J8" s="48" t="n">
        <f aca="false">IFERROR(Model!J8,"")</f>
        <v>32.5</v>
      </c>
      <c r="K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3" t="s">
        <v>224</v>
      </c>
    </row>
    <row r="2" customFormat="false" ht="15" hidden="false" customHeight="false" outlineLevel="0" collapsed="false">
      <c r="A2" s="3" t="s">
        <v>225</v>
      </c>
    </row>
    <row r="4" customFormat="false" ht="26.85" hidden="false" customHeight="false" outlineLevel="0" collapsed="false">
      <c r="A4" s="16" t="s">
        <v>226</v>
      </c>
      <c r="B4" s="17" t="s">
        <v>227</v>
      </c>
      <c r="C4" s="17" t="s">
        <v>228</v>
      </c>
      <c r="D4" s="17" t="s">
        <v>229</v>
      </c>
      <c r="E4" s="17" t="s">
        <v>230</v>
      </c>
      <c r="F4" s="17" t="s">
        <v>231</v>
      </c>
      <c r="G4" s="17" t="s">
        <v>232</v>
      </c>
    </row>
    <row r="5" customFormat="false" ht="15" hidden="false" customHeight="false" outlineLevel="0" collapsed="false">
      <c r="A5" s="50" t="s">
        <v>233</v>
      </c>
      <c r="B5" s="50" t="s">
        <v>234</v>
      </c>
      <c r="C5" s="51" t="n">
        <v>9.81</v>
      </c>
      <c r="D5" s="51" t="n">
        <v>2.4</v>
      </c>
      <c r="E5" s="51" t="n">
        <v>2.9</v>
      </c>
      <c r="F5" s="51" t="n">
        <v>34000</v>
      </c>
      <c r="G5" s="51" t="n">
        <v>86</v>
      </c>
    </row>
    <row r="6" customFormat="false" ht="15" hidden="false" customHeight="false" outlineLevel="0" collapsed="false">
      <c r="A6" s="52" t="s">
        <v>235</v>
      </c>
      <c r="B6" s="52" t="s">
        <v>236</v>
      </c>
      <c r="C6" s="53" t="n">
        <v>41.73</v>
      </c>
      <c r="D6" s="53" t="n">
        <v>8.9</v>
      </c>
      <c r="E6" s="53" t="n">
        <v>10.9</v>
      </c>
      <c r="F6" s="53" t="n">
        <v>117022</v>
      </c>
      <c r="G6" s="53" t="n">
        <v>93</v>
      </c>
    </row>
    <row r="7" customFormat="false" ht="15" hidden="false" customHeight="false" outlineLevel="0" collapsed="false">
      <c r="A7" s="52" t="s">
        <v>237</v>
      </c>
      <c r="B7" s="52" t="s">
        <v>238</v>
      </c>
      <c r="C7" s="53" t="n">
        <v>12.15</v>
      </c>
      <c r="D7" s="53" t="n">
        <v>5.9</v>
      </c>
      <c r="E7" s="53" t="n">
        <v>5.8</v>
      </c>
      <c r="F7" s="53" t="n">
        <v>40000</v>
      </c>
      <c r="G7" s="53" t="n">
        <v>146</v>
      </c>
    </row>
    <row r="9" customFormat="false" ht="15" hidden="false" customHeight="false" outlineLevel="0" collapsed="false">
      <c r="A9" s="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3" t="s">
        <v>240</v>
      </c>
    </row>
    <row r="2" customFormat="false" ht="15" hidden="false" customHeight="false" outlineLevel="0" collapsed="false">
      <c r="A2" s="3" t="s">
        <v>241</v>
      </c>
    </row>
    <row r="4" customFormat="false" ht="15" hidden="false" customHeight="false" outlineLevel="0" collapsed="false">
      <c r="A4" s="16" t="s">
        <v>242</v>
      </c>
      <c r="B4" s="17" t="s">
        <v>21</v>
      </c>
      <c r="C4" s="17" t="s">
        <v>243</v>
      </c>
      <c r="D4" s="17" t="s">
        <v>244</v>
      </c>
    </row>
    <row r="5" customFormat="false" ht="15" hidden="false" customHeight="false" outlineLevel="0" collapsed="false">
      <c r="A5" s="12" t="s">
        <v>245</v>
      </c>
      <c r="B5" s="54" t="n">
        <f aca="false">Valuation!$B$38</f>
        <v>8.25</v>
      </c>
      <c r="C5" s="55" t="n">
        <v>8.25</v>
      </c>
      <c r="D5" s="56" t="b">
        <f aca="false">ABS(B5-C5)&lt;=MAX(0.01,ABS(C5)*0.005)</f>
        <v>1</v>
      </c>
    </row>
    <row r="6" customFormat="false" ht="15" hidden="false" customHeight="false" outlineLevel="0" collapsed="false">
      <c r="A6" s="12" t="s">
        <v>246</v>
      </c>
      <c r="B6" s="54" t="str">
        <f aca="false">Valuation!$B$43</f>
        <v>Buy</v>
      </c>
      <c r="C6" s="55" t="s">
        <v>247</v>
      </c>
      <c r="D6" s="56" t="b">
        <f aca="false">B6=C6</f>
        <v>1</v>
      </c>
    </row>
    <row r="7" customFormat="false" ht="15" hidden="false" customHeight="false" outlineLevel="0" collapsed="false">
      <c r="A7" s="12" t="s">
        <v>248</v>
      </c>
      <c r="B7" s="54" t="n">
        <f aca="false">Model!$G$10</f>
        <v>645.32</v>
      </c>
      <c r="C7" s="55" t="n">
        <v>645.32</v>
      </c>
      <c r="D7" s="56" t="b">
        <f aca="false">ABS(B7-C7)&lt;=MAX(0.01,ABS(C7)*0.005)</f>
        <v>1</v>
      </c>
    </row>
    <row r="8" customFormat="false" ht="15" hidden="false" customHeight="false" outlineLevel="0" collapsed="false">
      <c r="A8" s="12" t="s">
        <v>249</v>
      </c>
      <c r="B8" s="54" t="n">
        <f aca="false">Model!$G$14</f>
        <v>2.49717138103161</v>
      </c>
      <c r="C8" s="55" t="n">
        <v>2.5</v>
      </c>
      <c r="D8" s="56" t="b">
        <f aca="false">ABS(B8-C8)&lt;=MAX(0.01,ABS(C8)*0.005)</f>
        <v>1</v>
      </c>
    </row>
    <row r="9" customFormat="false" ht="15" hidden="false" customHeight="false" outlineLevel="0" collapsed="false">
      <c r="A9" s="12" t="s">
        <v>250</v>
      </c>
      <c r="B9" s="54" t="n">
        <f aca="false">Valuation!$B$36</f>
        <v>11.7254575707155</v>
      </c>
      <c r="C9" s="55" t="n">
        <v>11.73</v>
      </c>
      <c r="D9" s="56" t="b">
        <f aca="false">ABS(B9-C9)&lt;=MAX(0.01,ABS(C9)*0.005)</f>
        <v>1</v>
      </c>
    </row>
    <row r="10" customFormat="false" ht="15" hidden="false" customHeight="false" outlineLevel="0" collapsed="false">
      <c r="A10" s="12" t="s">
        <v>251</v>
      </c>
      <c r="B10" s="54" t="n">
        <f aca="false">Valuation!$B$26</f>
        <v>14.3926788685524</v>
      </c>
      <c r="C10" s="55" t="n">
        <v>14.39</v>
      </c>
      <c r="D10" s="56" t="b">
        <f aca="false">ABS(B10-C10)&lt;=MAX(0.01,ABS(C10)*0.005)</f>
        <v>1</v>
      </c>
    </row>
    <row r="12" customFormat="false" ht="15" hidden="false" customHeight="false" outlineLevel="0" collapsed="false">
      <c r="A12" s="4" t="s">
        <v>252</v>
      </c>
      <c r="D12" s="57" t="b">
        <f aca="false">AND(D5:D10)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3" t="s">
        <v>253</v>
      </c>
    </row>
    <row r="2" customFormat="false" ht="15" hidden="false" customHeight="false" outlineLevel="0" collapsed="false">
      <c r="A2" s="3" t="s">
        <v>254</v>
      </c>
    </row>
    <row r="4" customFormat="false" ht="15" hidden="false" customHeight="false" outlineLevel="0" collapsed="false">
      <c r="A4" s="16" t="s">
        <v>255</v>
      </c>
      <c r="B4" s="17" t="s">
        <v>256</v>
      </c>
      <c r="C4" s="17" t="s">
        <v>257</v>
      </c>
      <c r="D4" s="17" t="s">
        <v>258</v>
      </c>
    </row>
    <row r="5" customFormat="false" ht="15" hidden="false" customHeight="false" outlineLevel="0" collapsed="false">
      <c r="A5" s="8" t="s">
        <v>259</v>
      </c>
      <c r="B5" s="8" t="s">
        <v>260</v>
      </c>
      <c r="C5" s="8" t="s">
        <v>261</v>
      </c>
      <c r="D5" s="8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2026-10-27T21:00:00Z</dcterms:created>
  <dc:creator>openpyxl</dc:creator>
  <dc:description/>
  <dc:language>en-US</dc:language>
  <cp:lastModifiedBy/>
  <dcterms:modified xsi:type="dcterms:W3CDTF">2026-10-27T21:00:00Z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