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Model" sheetId="3" state="visible" r:id="rId5"/>
    <sheet name="Valuation" sheetId="4" state="visible" r:id="rId6"/>
    <sheet name="Sensitivity" sheetId="5" state="visible" r:id="rId7"/>
    <sheet name="Ratios" sheetId="6" state="visible" r:id="rId8"/>
    <sheet name="Comps" sheetId="7" state="visible" r:id="rId9"/>
    <sheet name="Checks" sheetId="8" state="visible" r:id="rId10"/>
    <sheet name="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<sst xmlns="http://schemas.openxmlformats.org/spreadsheetml/2006/main" count="366" uniqueCount="278">
  <si>
    <t xml:space="preserve">NORTHWALL RESEARCH</t>
  </si>
  <si>
    <t xml:space="preserve">Whitecap Resources Inc. (WCP)</t>
  </si>
  <si>
    <t xml:space="preserve">Canadian oil and gas producers · Analyst: Basel Al-Ghousein · Model version v2026Q2 · Built 2026-10-27</t>
  </si>
  <si>
    <t xml:space="preserve">Rating</t>
  </si>
  <si>
    <t xml:space="preserve">Price target (CAD)</t>
  </si>
  <si>
    <t xml:space="preserve">Share price (CAD), TSX close Oct 23, 2026 (Stock Analysis)</t>
  </si>
  <si>
    <t xml:space="preserve">Implied all-in return</t>
  </si>
  <si>
    <t xml:space="preserve">Valuation method 1</t>
  </si>
  <si>
    <t xml:space="preserve">Valuation method 2</t>
  </si>
  <si>
    <t xml:space="preserve">DCF cross-check per share</t>
  </si>
  <si>
    <t xml:space="preserve">Cost of equity (CAPM)</t>
  </si>
  <si>
    <t xml:space="preserve">Market-implied growth</t>
  </si>
  <si>
    <t xml:space="preserve">All integrity checks pass</t>
  </si>
  <si>
    <t xml:space="preserve">Colour code</t>
  </si>
  <si>
    <t xml:space="preserve">Blue: typed input with a source (Inputs sheet only)</t>
  </si>
  <si>
    <t xml:space="preserve">Black: formula</t>
  </si>
  <si>
    <t xml:space="preserve">Green: link to another sheet</t>
  </si>
  <si>
    <t xml:space="preserve">Yellow fill: key assumption or output</t>
  </si>
  <si>
    <t xml:space="preserve">Sheets</t>
  </si>
  <si>
    <t xml:space="preserve">Inputs</t>
  </si>
  <si>
    <t xml:space="preserve">Every typed number, with its source</t>
  </si>
  <si>
    <t xml:space="preserve">Model</t>
  </si>
  <si>
    <t xml:space="preserve">Operations and financials, H1 actual + H2 estimate</t>
  </si>
  <si>
    <t xml:space="preserve">Valuation</t>
  </si>
  <si>
    <t xml:space="preserve">Target methods, CAPM/WACC, DCF, reverse DCF, residual income, justified P/E</t>
  </si>
  <si>
    <t xml:space="preserve">NAV</t>
  </si>
  <si>
    <t xml:space="preserve">Asset-life cash flows (resource names)</t>
  </si>
  <si>
    <t xml:space="preserve">Sensitivity</t>
  </si>
  <si>
    <t xml:space="preserve">Target and DCF grids</t>
  </si>
  <si>
    <t xml:space="preserve">Ratios</t>
  </si>
  <si>
    <t xml:space="preserve">DuPont, cash conversion, leverage, payout</t>
  </si>
  <si>
    <t xml:space="preserve">Comps</t>
  </si>
  <si>
    <t xml:space="preserve">Peer table</t>
  </si>
  <si>
    <t xml:space="preserve">Checks</t>
  </si>
  <si>
    <t xml:space="preserve">Integrity checks; all must be TRUE</t>
  </si>
  <si>
    <t xml:space="preserve">Log</t>
  </si>
  <si>
    <t xml:space="preserve">Every change, dated, with its reason</t>
  </si>
  <si>
    <t xml:space="preserve">Whitecap Resources Inc. (WCP) — Inputs</t>
  </si>
  <si>
    <t xml:space="preserve">Every typed number in the model lives here, in blue, with its source. Change inputs here only.</t>
  </si>
  <si>
    <t xml:space="preserve">House price deck (from data/price_deck.yaml)</t>
  </si>
  <si>
    <t xml:space="preserve">Input</t>
  </si>
  <si>
    <t xml:space="preserve">Unit</t>
  </si>
  <si>
    <t xml:space="preserve">2025A</t>
  </si>
  <si>
    <t xml:space="preserve">H1-26A</t>
  </si>
  <si>
    <t xml:space="preserve">H2-26E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</si>
  <si>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</si>
  <si>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</si>
  <si>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</si>
  <si>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</si>
  <si>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</si>
  <si>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Source</t>
  </si>
  <si>
    <t xml:space="preserve">WTI, house deck</t>
  </si>
  <si>
    <t xml:space="preserve">US$/bbl</t>
  </si>
  <si>
    <t xml:space="preserve">Northwall deck: Q3-26 ~88 and Q4-26 95 (avg 91.5); WTI ~US$101.8 on Oct 26, 2026 (DTN); normalizes to 70 as the Middle East premium fades</t>
  </si>
  <si>
    <t xml:space="preserve">Company drivers by period</t>
  </si>
  <si>
    <t xml:space="preserve">Production</t>
  </si>
  <si>
    <t xml:space="preserve">kboe/d</t>
  </si>
  <si>
    <t xml:space="preserve">H1-26A: Q1 391,416 and Q2 388,894 boe/d (releases). H2-26E: Northwall, Q3 380k / Q4 385k vs 384-386k FY guidance. 2027E+: 3% growth (company base case)</t>
  </si>
  <si>
    <t xml:space="preserve">Days</t>
  </si>
  <si>
    <t xml:space="preserve">days</t>
  </si>
  <si>
    <t xml:space="preserve">Calendar</t>
  </si>
  <si>
    <t xml:space="preserve">Funds flow, reported</t>
  </si>
  <si>
    <t xml:space="preserve">C$M</t>
  </si>
  <si>
    <t xml:space="preserve">Q1-26 C$1,025.3M + Q2-26 C$1,354.6M (releases)</t>
  </si>
  <si>
    <t xml:space="preserve">Capital expenditures, reported</t>
  </si>
  <si>
    <t xml:space="preserve">Q1-26 C$676.3M + Q2-26 C$430.1M</t>
  </si>
  <si>
    <t xml:space="preserve">Capital expenditures</t>
  </si>
  <si>
    <t xml:space="preserve">High end of the C$2.0-2.1B 2026 budget (Q2-26 release); held flat</t>
  </si>
  <si>
    <t xml:space="preserve">Basic shares</t>
  </si>
  <si>
    <t xml:space="preserve">M</t>
  </si>
  <si>
    <t xml:space="preserve">Q2-26 release: 1,215.7M; no buybacks assumed</t>
  </si>
  <si>
    <t xml:space="preserve">Dividend per share</t>
  </si>
  <si>
    <t xml:space="preserve">C$</t>
  </si>
  <si>
    <t xml:space="preserve">C$0.0608 monthly (Oct 15, 2026 release)</t>
  </si>
  <si>
    <t xml:space="preserve">Net debt, reported</t>
  </si>
  <si>
    <t xml:space="preserve">Q2-26 release</t>
  </si>
  <si>
    <t xml:space="preserve">Scalar inputs: market data, operating assumptions, valuation parameters</t>
  </si>
  <si>
    <t xml:space="preserve">Value</t>
  </si>
  <si>
    <t xml:space="preserve">Share price</t>
  </si>
  <si>
    <t xml:space="preserve">TSX close Oct 23, 2026 (Stock Analysis)</t>
  </si>
  <si>
    <t xml:space="preserve">Model currency per listing currency</t>
  </si>
  <si>
    <t xml:space="preserve">Same currency</t>
  </si>
  <si>
    <t xml:space="preserve">Basic shares outstanding</t>
  </si>
  <si>
    <t xml:space="preserve">Latest company filing</t>
  </si>
  <si>
    <t xml:space="preserve">Net debt at last balance sheet (negative = net cash)</t>
  </si>
  <si>
    <t xml:space="preserve">Latest quarterly filing</t>
  </si>
  <si>
    <t xml:space="preserve">Equity beta</t>
  </si>
  <si>
    <t xml:space="preserve">5-year beta 0.69 (Stock Analysis)</t>
  </si>
  <si>
    <t xml:space="preserve">Pre-tax cost of debt</t>
  </si>
  <si>
    <t xml:space="preserve">Northwall assumption: credit facility pricing</t>
  </si>
  <si>
    <t xml:space="preserve">Marginal tax rate</t>
  </si>
  <si>
    <t xml:space="preserve">Statutory combined rate</t>
  </si>
  <si>
    <t xml:space="preserve">Gross debt</t>
  </si>
  <si>
    <t xml:space="preserve">Weight on valuation method 1</t>
  </si>
  <si>
    <t xml:space="preserve">Northwall method: equal weight</t>
  </si>
  <si>
    <t xml:space="preserve">Target multiple, method 1</t>
  </si>
  <si>
    <t xml:space="preserve">Northwall: modest premium to the current 6.0x for inventory, liquids and 0.5x leverage</t>
  </si>
  <si>
    <t xml:space="preserve">Target multiple, method 2</t>
  </si>
  <si>
    <t xml:space="preserve">Northwall target free funds flow yield</t>
  </si>
  <si>
    <t xml:space="preserve">Next-12-month dividend per share</t>
  </si>
  <si>
    <t xml:space="preserve">C$0.0608 monthly</t>
  </si>
  <si>
    <t xml:space="preserve">Target rounding increment</t>
  </si>
  <si>
    <t xml:space="preserve">House style</t>
  </si>
  <si>
    <t xml:space="preserve">Buy threshold: expected 12-month total return</t>
  </si>
  <si>
    <t xml:space="preserve">Northwall rating definitions</t>
  </si>
  <si>
    <t xml:space="preserve">Terminal growth for DCF cross-check (nominal)</t>
  </si>
  <si>
    <t xml:space="preserve">Northwall: 0% for depleting oil assets, 2% for long-life gold portfolios</t>
  </si>
  <si>
    <t xml:space="preserve">Investments not captured in FCFF</t>
  </si>
  <si>
    <t xml:space="preserve">Balance sheet</t>
  </si>
  <si>
    <t xml:space="preserve">Funds flow per boe, Q2-26 actual</t>
  </si>
  <si>
    <t xml:space="preserve">C$/boe</t>
  </si>
  <si>
    <t xml:space="preserve">Q2-26 funds flow / Q2-26 volume</t>
  </si>
  <si>
    <t xml:space="preserve">Funds flow sensitivity per US$1 WTI</t>
  </si>
  <si>
    <t xml:space="preserve">Northwall: ~52% oil and condensate weighting, royalties and FX</t>
  </si>
  <si>
    <t xml:space="preserve">WTI in the anchor quarter</t>
  </si>
  <si>
    <t xml:space="preserve">Q2-26 average WTI (Greenfire Q2-26 release)</t>
  </si>
  <si>
    <t xml:space="preserve">After-tax interest added back for DACF</t>
  </si>
  <si>
    <t xml:space="preserve">Northwall estimate</t>
  </si>
  <si>
    <t xml:space="preserve">Risk-free rate (US 10-yr Treasury)</t>
  </si>
  <si>
    <t xml:space="preserve">%</t>
  </si>
  <si>
    <t xml:space="preserve">US 10-yr close 4.969% on Oct 26, 2026 (Mortgage News Daily)</t>
  </si>
  <si>
    <t xml:space="preserve">Equity risk premium</t>
  </si>
  <si>
    <t xml:space="preserve">Northwall assumption; within the 4-6% range of common historical and survey estimates (CFA L2 Return Concepts)</t>
  </si>
  <si>
    <t xml:space="preserve">Whitecap Resources Inc. — Operating and financial model (CAD millions unless noted)</t>
  </si>
  <si>
    <t xml:space="preserve">H1-26A = reported six months; H2-26E = Northwall estimate; 2026E = H1 + H2. All cells are formulas.</t>
  </si>
  <si>
    <t xml:space="preserve">Line</t>
  </si>
  <si>
    <t xml:space="preserve">Method</t>
  </si>
  <si>
    <t xml:space="preserve">Production and pricing</t>
  </si>
  <si>
    <t xml:space="preserve">Days in period</t>
  </si>
  <si>
    <t xml:space="preserve">Volume</t>
  </si>
  <si>
    <t xml:space="preserve">MMboe</t>
  </si>
  <si>
    <t xml:space="preserve">Funds flow per boe</t>
  </si>
  <si>
    <t xml:space="preserve">Anchored to Q2-26 actual, flexed C$0.60/boe per US$1 WTI</t>
  </si>
  <si>
    <t xml:space="preserve">Cash flow</t>
  </si>
  <si>
    <t xml:space="preserve">Funds flow</t>
  </si>
  <si>
    <t xml:space="preserve">Funds flow per share</t>
  </si>
  <si>
    <t xml:space="preserve">Free funds flow</t>
  </si>
  <si>
    <t xml:space="preserve">Free funds flow per share</t>
  </si>
  <si>
    <t xml:space="preserve">Debt-adjusted cash flow (FF + after-tax interest)</t>
  </si>
  <si>
    <t xml:space="preserve">Free cash flow to the firm</t>
  </si>
  <si>
    <t xml:space="preserve">Dividends</t>
  </si>
  <si>
    <t xml:space="preserve">Net debt, period end (negative = net cash)</t>
  </si>
  <si>
    <t xml:space="preserve">No buybacks assumed</t>
  </si>
  <si>
    <t xml:space="preserve">Whitecap Resources Inc. — Valuation and price target</t>
  </si>
  <si>
    <t xml:space="preserve">Target methods first; CFA Level II cross-checks (DCF, reverse DCF, residual income, justified P/E) follow.</t>
  </si>
  <si>
    <t xml:space="preserve">Market data</t>
  </si>
  <si>
    <t xml:space="preserve">Share price (CAD)</t>
  </si>
  <si>
    <t xml:space="preserve">Share price in model currency (CAD)</t>
  </si>
  <si>
    <t xml:space="preserve">Converted when the listing currency differs from the reporting currency</t>
  </si>
  <si>
    <t xml:space="preserve">Basic shares outstanding (M)</t>
  </si>
  <si>
    <t xml:space="preserve">Market capitalization (M)</t>
  </si>
  <si>
    <t xml:space="preserve">Net debt (cash) at last balance sheet (M)</t>
  </si>
  <si>
    <t xml:space="preserve">Negative = net cash</t>
  </si>
  <si>
    <t xml:space="preserve">Enterprise value (M)</t>
  </si>
  <si>
    <t xml:space="preserve">Market cap + net debt</t>
  </si>
  <si>
    <t xml:space="preserve">Required return on equity (CAPM) and WACC — CFA L2 Equity: Return Concepts; Corporate Issuers: Cost of Capital</t>
  </si>
  <si>
    <t xml:space="preserve">Risk-free rate (US 10-yr)</t>
  </si>
  <si>
    <t xml:space="preserve">House deck</t>
  </si>
  <si>
    <t xml:space="preserve">Cost of equity: rf + beta x ERP</t>
  </si>
  <si>
    <t xml:space="preserve">CAPM</t>
  </si>
  <si>
    <t xml:space="preserve">Debt weight: D / (D + E), market values</t>
  </si>
  <si>
    <t xml:space="preserve">Gross debt at market cap</t>
  </si>
  <si>
    <t xml:space="preserve">WACC</t>
  </si>
  <si>
    <t xml:space="preserve">ke x E/V + kd x (1 - t) x D/V</t>
  </si>
  <si>
    <t xml:space="preserve">Target method 1: EV/DACF — method 2: free cash flow yield</t>
  </si>
  <si>
    <t xml:space="preserve">DACF, 2027E (C$M)</t>
  </si>
  <si>
    <t xml:space="preserve">Target EV/DACF multiple</t>
  </si>
  <si>
    <t xml:space="preserve">Net debt, Dec 31, 2026E (C$M)</t>
  </si>
  <si>
    <t xml:space="preserve">Method 1 value per share</t>
  </si>
  <si>
    <t xml:space="preserve">(multiple x DACF - net debt) / shares</t>
  </si>
  <si>
    <t xml:space="preserve">Free funds flow, 2027E (C$M)</t>
  </si>
  <si>
    <t xml:space="preserve">Target free funds flow yield</t>
  </si>
  <si>
    <t xml:space="preserve">Method 2 value per share</t>
  </si>
  <si>
    <t xml:space="preserve">FFF / yield / shares</t>
  </si>
  <si>
    <t xml:space="preserve">Current EV / 2027E DACF</t>
  </si>
  <si>
    <t xml:space="preserve">Current 2027E free funds flow yield</t>
  </si>
  <si>
    <t xml:space="preserve">Dividend coverage</t>
  </si>
  <si>
    <t xml:space="preserve">WTI at which 2027E free funds flow covers the dividend (US$/bbl)</t>
  </si>
  <si>
    <t xml:space="preserve">Solves FF(WTI) - capital = dividends</t>
  </si>
  <si>
    <t xml:space="preserve">Price target and rating</t>
  </si>
  <si>
    <t xml:space="preserve">Weight on method 1</t>
  </si>
  <si>
    <t xml:space="preserve">Weight on method 2</t>
  </si>
  <si>
    <t xml:space="preserve">Blended value per share (CAD)</t>
  </si>
  <si>
    <t xml:space="preserve">Converted to listing currency</t>
  </si>
  <si>
    <t xml:space="preserve">12-month price target (CAD), rounded</t>
  </si>
  <si>
    <t xml:space="preserve">Rounded to the house increment</t>
  </si>
  <si>
    <t xml:space="preserve">Next-12-month dividend per share (listing currency)</t>
  </si>
  <si>
    <t xml:space="preserve">Implied price return</t>
  </si>
  <si>
    <t xml:space="preserve">Dividend yield</t>
  </si>
  <si>
    <t xml:space="preserve">Rating bands: Buy &gt; 15%, Hold 0–15%, Sell &lt; 0%</t>
  </si>
  <si>
    <t xml:space="preserve">Cross-check 1: two-stage FCFF DCF — CFA L2 Equity: Free Cash Flow Valuation</t>
  </si>
  <si>
    <t xml:space="preserve">Valuation date: Dec 31, 2026. FCFF discounted at WACC, end-year; Gordon growth terminal value on 2030E FCFF.</t>
  </si>
  <si>
    <t xml:space="preserve">Year</t>
  </si>
  <si>
    <t xml:space="preserve">FCFF (CAD M)</t>
  </si>
  <si>
    <t xml:space="preserve">Discount factor</t>
  </si>
  <si>
    <t xml:space="preserve">Present value</t>
  </si>
  <si>
    <t xml:space="preserve">Terminal growth, nominal</t>
  </si>
  <si>
    <t xml:space="preserve">PV of 2027E–2030E FCFF</t>
  </si>
  <si>
    <t xml:space="preserve">Terminal value at 2030</t>
  </si>
  <si>
    <t xml:space="preserve">FCFF 2030 x (1 + g) / (WACC - g)</t>
  </si>
  <si>
    <t xml:space="preserve">PV of terminal value</t>
  </si>
  <si>
    <t xml:space="preserve">Enterprise value (DCF)</t>
  </si>
  <si>
    <t xml:space="preserve">Less: net debt at Dec 31, 2026E</t>
  </si>
  <si>
    <t xml:space="preserve">From Model</t>
  </si>
  <si>
    <t xml:space="preserve">Plus: investments not in FCFF</t>
  </si>
  <si>
    <t xml:space="preserve">DCF value per share (CAD)</t>
  </si>
  <si>
    <t xml:space="preserve">Cross-check only; not in the target weights</t>
  </si>
  <si>
    <t xml:space="preserve">DCF value vs. share price</t>
  </si>
  <si>
    <t xml:space="preserve">Terminal value share of EV</t>
  </si>
  <si>
    <t xml:space="preserve">A high share means the answer rests on long-run assumptions</t>
  </si>
  <si>
    <t xml:space="preserve">Cross-check 2: market-implied growth (reverse Gordon) — CFA L2 Equity: DDM / FCF valuation</t>
  </si>
  <si>
    <t xml:space="preserve">Next-year cash flow per share, 2027E (CAD)</t>
  </si>
  <si>
    <t xml:space="preserve">Free cash flow to equity proxy</t>
  </si>
  <si>
    <t xml:space="preserve">Growth rate implied by today's price: ke - CF1 / P</t>
  </si>
  <si>
    <t xml:space="preserve">Compare with the growth the model actually forecasts</t>
  </si>
  <si>
    <t xml:space="preserve">Whitecap Resources Inc. — Sensitivity</t>
  </si>
  <si>
    <t xml:space="preserve">Every cell is a live formula on the model; nothing is pasted.</t>
  </si>
  <si>
    <t xml:space="preserve">Price target (CAD, before rounding) vs. the two valuation multiples</t>
  </si>
  <si>
    <t xml:space="preserve">EV/DACF down, FFF yield across</t>
  </si>
  <si>
    <t xml:space="preserve">DCF value per share vs. WACC (down) and terminal growth (across)</t>
  </si>
  <si>
    <t xml:space="preserve">Whitecap Resources Inc. — Financial analysis ratios</t>
  </si>
  <si>
    <t xml:space="preserve">CFA L2 Financial Statement Analysis: DuPont, cash conversion, leverage and payout. Formulas on the Model sheet.</t>
  </si>
  <si>
    <t xml:space="preserve">Ratio</t>
  </si>
  <si>
    <t xml:space="preserve">Reading</t>
  </si>
  <si>
    <t xml:space="preserve">Reinvestment rate (capital / funds flow)</t>
  </si>
  <si>
    <t xml:space="preserve">Dividend payout of free funds flow</t>
  </si>
  <si>
    <t xml:space="preserve">Net debt / funds flow</t>
  </si>
  <si>
    <t xml:space="preserve">Funds flow per share growth</t>
  </si>
  <si>
    <t xml:space="preserve">Mostly price-driven: the deck falls from US$91.5 to US$70</t>
  </si>
  <si>
    <t xml:space="preserve">Whitecap Resources Inc. — Peer comparison</t>
  </si>
  <si>
    <t xml:space="preserve">Canadian producers, Q2-26 annualized. Prices: WCP Oct 23, TOU Oct 22, SCR Oct 15, 2026.</t>
  </si>
  <si>
    <t xml:space="preserve">Company</t>
  </si>
  <si>
    <t xml:space="preserve">Ticker</t>
  </si>
  <si>
    <t xml:space="preserve">Price (C$)</t>
  </si>
  <si>
    <t xml:space="preserve">Mkt cap (C$B)</t>
  </si>
  <si>
    <t xml:space="preserve">EV/CF</t>
  </si>
  <si>
    <t xml:space="preserve">FCF yield</t>
  </si>
  <si>
    <t xml:space="preserve">Div yield</t>
  </si>
  <si>
    <t xml:space="preserve">ND/CF</t>
  </si>
  <si>
    <t xml:space="preserve">Whitecap</t>
  </si>
  <si>
    <t xml:space="preserve">WCP</t>
  </si>
  <si>
    <t xml:space="preserve">5.0x</t>
  </si>
  <si>
    <t xml:space="preserve">14.9%</t>
  </si>
  <si>
    <t xml:space="preserve">3.6%</t>
  </si>
  <si>
    <t xml:space="preserve">0.5x</t>
  </si>
  <si>
    <t xml:space="preserve">Tourmaline</t>
  </si>
  <si>
    <t xml:space="preserve">TOU</t>
  </si>
  <si>
    <t xml:space="preserve">8.6x</t>
  </si>
  <si>
    <t xml:space="preserve">3.0%</t>
  </si>
  <si>
    <t xml:space="preserve">Strathcona</t>
  </si>
  <si>
    <t xml:space="preserve">SCR</t>
  </si>
  <si>
    <t xml:space="preserve">13.3%</t>
  </si>
  <si>
    <t xml:space="preserve">2.9%</t>
  </si>
  <si>
    <t xml:space="preserve">0.9x</t>
  </si>
  <si>
    <t xml:space="preserve">Source: Company Q2-26 filings; Northwall calculations</t>
  </si>
  <si>
    <t xml:space="preserve">Whitecap Resources Inc. — Model integrity checks</t>
  </si>
  <si>
    <t xml:space="preserve">Every check should read TRUE before anything is published.</t>
  </si>
  <si>
    <t xml:space="preserve">Check</t>
  </si>
  <si>
    <t xml:space="preserve">Expected</t>
  </si>
  <si>
    <t xml:space="preserve">Pass</t>
  </si>
  <si>
    <t xml:space="preserve">Price target equals the published target</t>
  </si>
  <si>
    <t xml:space="preserve">Rating equals the published rating</t>
  </si>
  <si>
    <t xml:space="preserve">Buy</t>
  </si>
  <si>
    <t xml:space="preserve">2027E funds flow per share equals the published estimate</t>
  </si>
  <si>
    <t xml:space="preserve">2027E free funds flow equals the published estimate</t>
  </si>
  <si>
    <t xml:space="preserve">Net debt at Dec 31, 2026E equals the published estimate</t>
  </si>
  <si>
    <t xml:space="preserve">Dividend breakeven WTI equals the published ~US$63</t>
  </si>
  <si>
    <t xml:space="preserve">All checks pass</t>
  </si>
  <si>
    <t xml:space="preserve">Model change log</t>
  </si>
  <si>
    <t xml:space="preserve">Newest first. One row per change; never delete rows.</t>
  </si>
  <si>
    <t xml:space="preserve">Date</t>
  </si>
  <si>
    <t xml:space="preserve">Version</t>
  </si>
  <si>
    <t xml:space="preserve">Change</t>
  </si>
  <si>
    <t xml:space="preserve">Effect on target</t>
  </si>
  <si>
    <t xml:space="preserve">2026-10-27</t>
  </si>
  <si>
    <t xml:space="preserve">v2026Q2</t>
  </si>
  <si>
    <t xml:space="preserve">Model built on house template from Q2-26 filings; ties to the published 2026-10-27 report</t>
  </si>
  <si>
    <t xml:space="preserve">Target C$24, Buy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</si>
</sst>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#,##0.00;\(#,##0.00\);\-"/>
    <numFmt numFmtId="167" formatCode="0.0%;\(0.0%\);\-"/>
    <numFmt numFmtId="168" formatCode="#,##0.0;\(#,##0.0\);\-"/>
    <numFmt numFmtId="169" formatCode="0"/>
    <numFmt numFmtId="170" formatCode="0.000"/>
    <numFmt numFmtId="171" formatCode="#,##0;\(#,##0\);\-"/>
    <numFmt numFmtId="172" formatCode="0.0\x"/>
    <numFmt numFmtId="173" formatCode="0.0%"/>
    <numFmt numFmtId="174" formatCode="0.0\x"/>
    <numFmt numFmtId="175" formatCode="#,##0.00"/>
    <numFmt numFmtId="17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F5D7C"/>
      <name val="Arial"/>
      <family val="0"/>
      <charset val="1"/>
    </font>
    <font>
      <b val="true"/>
      <sz val="16"/>
      <color rgb="FF0F1A2B"/>
      <name val="Arial"/>
      <family val="0"/>
      <charset val="1"/>
    </font>
    <font>
      <i val="true"/>
      <sz val="8"/>
      <color rgb="FF5A6B7C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4"/>
      <color rgb="FF0F1A2B"/>
      <name val="Arial"/>
      <family val="0"/>
      <charset val="1"/>
    </font>
    <font>
      <b val="true"/>
      <sz val="11"/>
      <color rgb="FF0F1A2B"/>
      <name val="Arial"/>
      <family val="0"/>
      <charset val="1"/>
    </font>
    <font>
      <b val="true"/>
      <sz val="11"/>
      <color rgb="FFF7F8F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9EEF2"/>
        <bgColor rgb="FFF7F8FA"/>
      </patternFill>
    </fill>
    <fill>
      <patternFill patternType="solid">
        <fgColor rgb="FF0F1A2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8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EF2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C"/>
      <rgbColor rgb="FF969696"/>
      <rgbColor rgb="FF003366"/>
      <rgbColor rgb="FF339966"/>
      <rgbColor rgb="FF0F1A2B"/>
      <rgbColor rgb="FF333300"/>
      <rgbColor rgb="FF993300"/>
      <rgbColor rgb="FF993366"/>
      <rgbColor rgb="FF2F5D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tr">
        <f aca="false">Valuation!$B$44</f>
        <v>Buy</v>
      </c>
    </row>
    <row r="6" customFormat="false" ht="15" hidden="false" customHeight="false" outlineLevel="0" collapsed="false">
      <c r="A6" s="4" t="s">
        <v>4</v>
      </c>
      <c r="B6" s="6" t="n">
        <f aca="false">Valuation!$B$39</f>
        <v>24</v>
      </c>
    </row>
    <row r="7" customFormat="false" ht="15" hidden="false" customHeight="false" outlineLevel="0" collapsed="false">
      <c r="A7" s="4" t="s">
        <v>5</v>
      </c>
      <c r="B7" s="6" t="n">
        <f aca="false">Valuation!$B$5</f>
        <v>20.43</v>
      </c>
    </row>
    <row r="8" customFormat="false" ht="15" hidden="false" customHeight="false" outlineLevel="0" collapsed="false">
      <c r="A8" s="4" t="s">
        <v>6</v>
      </c>
      <c r="B8" s="7" t="n">
        <f aca="false">Valuation!$B$43</f>
        <v>0.210455212922173</v>
      </c>
    </row>
    <row r="9" customFormat="false" ht="15" hidden="false" customHeight="false" outlineLevel="0" collapsed="false">
      <c r="A9" s="4" t="s">
        <v>7</v>
      </c>
      <c r="B9" s="6" t="n">
        <f aca="false">Valuation!$B$26</f>
        <v>23.217119738529</v>
      </c>
    </row>
    <row r="10" customFormat="false" ht="15" hidden="false" customHeight="false" outlineLevel="0" collapsed="false">
      <c r="A10" s="4" t="s">
        <v>8</v>
      </c>
      <c r="B10" s="6" t="n">
        <f aca="false">Valuation!$B$29</f>
        <v>24.0040168553794</v>
      </c>
    </row>
    <row r="11" customFormat="false" ht="15" hidden="false" customHeight="false" outlineLevel="0" collapsed="false">
      <c r="A11" s="4" t="s">
        <v>9</v>
      </c>
      <c r="B11" s="6" t="n">
        <f aca="false">Valuation!$B$60</f>
        <v>18.7406888872349</v>
      </c>
    </row>
    <row r="12" customFormat="false" ht="15" hidden="false" customHeight="false" outlineLevel="0" collapsed="false">
      <c r="A12" s="4" t="s">
        <v>10</v>
      </c>
      <c r="B12" s="7" t="n">
        <f aca="false">Valuation!$B$16</f>
        <v>0.0842</v>
      </c>
    </row>
    <row r="13" customFormat="false" ht="15" hidden="false" customHeight="false" outlineLevel="0" collapsed="false">
      <c r="A13" s="4" t="s">
        <v>11</v>
      </c>
      <c r="B13" s="7" t="n">
        <f aca="false">Valuation!$B$66</f>
        <v>-0.0943472932142686</v>
      </c>
    </row>
    <row r="14" customFormat="false" ht="15" hidden="false" customHeight="false" outlineLevel="0" collapsed="false">
      <c r="A14" s="4" t="s">
        <v>12</v>
      </c>
      <c r="B14" s="5" t="str">
        <f aca="false">IF(Checks!$D$12,"Yes","NO - see Checks")</f>
        <v>Yes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8" t="s">
        <v>14</v>
      </c>
    </row>
    <row r="18" customFormat="false" ht="15" hidden="false" customHeight="false" outlineLevel="0" collapsed="false">
      <c r="A18" s="9" t="s">
        <v>15</v>
      </c>
    </row>
    <row r="19" customFormat="false" ht="15" hidden="false" customHeight="false" outlineLevel="0" collapsed="false">
      <c r="A19" s="10" t="s">
        <v>16</v>
      </c>
    </row>
    <row r="20" customFormat="false" ht="15" hidden="false" customHeight="false" outlineLevel="0" collapsed="false">
      <c r="A20" s="11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12" t="s">
        <v>19</v>
      </c>
      <c r="B23" s="3" t="s">
        <v>20</v>
      </c>
    </row>
    <row r="24" customFormat="false" ht="15" hidden="false" customHeight="false" outlineLevel="0" collapsed="false">
      <c r="A24" s="12" t="s">
        <v>21</v>
      </c>
      <c r="B24" s="3" t="s">
        <v>22</v>
      </c>
    </row>
    <row r="25" customFormat="false" ht="15" hidden="false" customHeight="false" outlineLevel="0" collapsed="false">
      <c r="A25" s="12" t="s">
        <v>23</v>
      </c>
      <c r="B25" s="3" t="s">
        <v>24</v>
      </c>
    </row>
    <row r="26" customFormat="false" ht="15" hidden="false" customHeight="false" outlineLevel="0" collapsed="false">
      <c r="A26" s="12" t="s">
        <v>25</v>
      </c>
      <c r="B26" s="3" t="s">
        <v>26</v>
      </c>
    </row>
    <row r="27" customFormat="false" ht="15" hidden="false" customHeight="false" outlineLevel="0" collapsed="false">
      <c r="A27" s="12" t="s">
        <v>27</v>
      </c>
      <c r="B27" s="3" t="s">
        <v>28</v>
      </c>
    </row>
    <row r="28" customFormat="false" ht="15" hidden="false" customHeight="false" outlineLevel="0" collapsed="false">
      <c r="A28" s="12" t="s">
        <v>29</v>
      </c>
      <c r="B28" s="3" t="s">
        <v>30</v>
      </c>
    </row>
    <row r="29" customFormat="false" ht="15" hidden="false" customHeight="false" outlineLevel="0" collapsed="false">
      <c r="A29" s="12" t="s">
        <v>31</v>
      </c>
      <c r="B29" s="3" t="s">
        <v>32</v>
      </c>
    </row>
    <row r="30" customFormat="false" ht="15" hidden="false" customHeight="false" outlineLevel="0" collapsed="false">
      <c r="A30" s="12" t="s">
        <v>33</v>
      </c>
      <c r="B30" s="3" t="s">
        <v>34</v>
      </c>
    </row>
    <row r="31" customFormat="false" ht="15" hidden="false" customHeight="false" outlineLevel="0" collapsed="false">
      <c r="A31" s="12" t="s">
        <v>35</v>
      </c>
      <c r="B31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3" t="s">
        <v>37</v>
      </c>
    </row>
    <row r="2" customFormat="false" ht="15" hidden="false" customHeight="false" outlineLevel="0" collapsed="false">
      <c r="A2" s="3" t="s">
        <v>38</v>
      </c>
    </row>
    <row r="4" customFormat="false" ht="15" hidden="false" customHeight="false" outlineLevel="0" collapsed="false">
      <c r="A4" s="14" t="s">
        <v>39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customFormat="false" ht="15" hidden="false" customHeight="false" outlineLevel="0" collapsed="false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7" t="s">
        <v>47</v>
      </c>
      <c r="I5" s="17" t="s">
        <v>48</v>
      </c>
      <c r="J5" s="17" t="s">
        <v>49</v>
      </c>
      <c r="K5" s="17" t="s">
        <v>50</v>
      </c>
    </row>
    <row r="6" customFormat="false" ht="15" hidden="false" customHeight="false" outlineLevel="0" collapsed="false">
      <c r="A6" s="4" t="s">
        <v>51</v>
      </c>
      <c r="B6" s="12" t="s">
        <v>52</v>
      </c>
      <c r="E6" s="18" t="n">
        <v>91.5</v>
      </c>
      <c r="G6" s="18" t="n">
        <v>80</v>
      </c>
      <c r="H6" s="18" t="n">
        <v>72</v>
      </c>
      <c r="I6" s="18" t="n">
        <v>70</v>
      </c>
      <c r="J6" s="18" t="n">
        <v>70</v>
      </c>
      <c r="K6" s="3" t="s">
        <v>53</v>
      </c>
    </row>
    <row r="8" customFormat="false" ht="15" hidden="false" customHeight="false" outlineLevel="0" collapsed="false">
      <c r="A8" s="14" t="s">
        <v>54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" hidden="false" customHeight="false" outlineLevel="0" collapsed="false">
      <c r="A9" s="16" t="s">
        <v>40</v>
      </c>
      <c r="B9" s="17" t="s">
        <v>41</v>
      </c>
      <c r="C9" s="17" t="s">
        <v>42</v>
      </c>
      <c r="D9" s="17" t="s">
        <v>43</v>
      </c>
      <c r="E9" s="17" t="s">
        <v>44</v>
      </c>
      <c r="F9" s="17" t="s">
        <v>45</v>
      </c>
      <c r="G9" s="17" t="s">
        <v>46</v>
      </c>
      <c r="H9" s="17" t="s">
        <v>47</v>
      </c>
      <c r="I9" s="17" t="s">
        <v>48</v>
      </c>
      <c r="J9" s="17" t="s">
        <v>49</v>
      </c>
      <c r="K9" s="17" t="s">
        <v>50</v>
      </c>
    </row>
    <row r="10" customFormat="false" ht="15" hidden="false" customHeight="false" outlineLevel="0" collapsed="false">
      <c r="A10" s="12" t="s">
        <v>55</v>
      </c>
      <c r="B10" s="12" t="s">
        <v>56</v>
      </c>
      <c r="D10" s="18" t="n">
        <v>390.155</v>
      </c>
      <c r="E10" s="18" t="n">
        <v>382.5</v>
      </c>
      <c r="G10" s="18" t="n">
        <v>397</v>
      </c>
      <c r="H10" s="18" t="n">
        <v>409</v>
      </c>
      <c r="I10" s="18" t="n">
        <v>421.3</v>
      </c>
      <c r="J10" s="18" t="n">
        <v>433.9</v>
      </c>
      <c r="K10" s="3" t="s">
        <v>57</v>
      </c>
    </row>
    <row r="11" customFormat="false" ht="15" hidden="false" customHeight="false" outlineLevel="0" collapsed="false">
      <c r="A11" s="12" t="s">
        <v>58</v>
      </c>
      <c r="B11" s="12" t="s">
        <v>59</v>
      </c>
      <c r="D11" s="19" t="n">
        <v>181</v>
      </c>
      <c r="E11" s="19" t="n">
        <v>184</v>
      </c>
      <c r="G11" s="19" t="n">
        <v>365</v>
      </c>
      <c r="H11" s="19" t="n">
        <v>365</v>
      </c>
      <c r="I11" s="19" t="n">
        <v>365</v>
      </c>
      <c r="J11" s="19" t="n">
        <v>365</v>
      </c>
      <c r="K11" s="3" t="s">
        <v>60</v>
      </c>
    </row>
    <row r="12" customFormat="false" ht="15" hidden="false" customHeight="false" outlineLevel="0" collapsed="false">
      <c r="A12" s="12" t="s">
        <v>61</v>
      </c>
      <c r="B12" s="12" t="s">
        <v>62</v>
      </c>
      <c r="D12" s="18" t="n">
        <v>2379.9</v>
      </c>
      <c r="K12" s="3" t="s">
        <v>63</v>
      </c>
    </row>
    <row r="13" customFormat="false" ht="15" hidden="false" customHeight="false" outlineLevel="0" collapsed="false">
      <c r="A13" s="12" t="s">
        <v>64</v>
      </c>
      <c r="B13" s="12" t="s">
        <v>62</v>
      </c>
      <c r="D13" s="18" t="n">
        <v>1106.4</v>
      </c>
      <c r="K13" s="3" t="s">
        <v>65</v>
      </c>
    </row>
    <row r="14" customFormat="false" ht="15" hidden="false" customHeight="false" outlineLevel="0" collapsed="false">
      <c r="A14" s="12" t="s">
        <v>66</v>
      </c>
      <c r="B14" s="12" t="s">
        <v>62</v>
      </c>
      <c r="E14" s="20" t="n">
        <f aca="false">2100-1106.4</f>
        <v>993.6</v>
      </c>
      <c r="G14" s="18" t="n">
        <v>2100</v>
      </c>
      <c r="H14" s="18" t="n">
        <v>2100</v>
      </c>
      <c r="I14" s="18" t="n">
        <v>2100</v>
      </c>
      <c r="J14" s="18" t="n">
        <v>2100</v>
      </c>
      <c r="K14" s="3" t="s">
        <v>67</v>
      </c>
    </row>
    <row r="15" customFormat="false" ht="15" hidden="false" customHeight="false" outlineLevel="0" collapsed="false">
      <c r="A15" s="12" t="s">
        <v>68</v>
      </c>
      <c r="B15" s="12" t="s">
        <v>69</v>
      </c>
      <c r="D15" s="18" t="n">
        <v>1215.7</v>
      </c>
      <c r="E15" s="18" t="n">
        <v>1215.7</v>
      </c>
      <c r="F15" s="18" t="n">
        <v>1215.7</v>
      </c>
      <c r="G15" s="18" t="n">
        <v>1215.7</v>
      </c>
      <c r="H15" s="18" t="n">
        <v>1215.7</v>
      </c>
      <c r="I15" s="18" t="n">
        <v>1215.7</v>
      </c>
      <c r="J15" s="18" t="n">
        <v>1215.7</v>
      </c>
      <c r="K15" s="3" t="s">
        <v>70</v>
      </c>
    </row>
    <row r="16" customFormat="false" ht="15" hidden="false" customHeight="false" outlineLevel="0" collapsed="false">
      <c r="A16" s="12" t="s">
        <v>71</v>
      </c>
      <c r="B16" s="12" t="s">
        <v>72</v>
      </c>
      <c r="D16" s="21" t="n">
        <v>0.36</v>
      </c>
      <c r="E16" s="21" t="n">
        <v>0.3648</v>
      </c>
      <c r="G16" s="21" t="n">
        <v>0.7296</v>
      </c>
      <c r="H16" s="21" t="n">
        <v>0.7296</v>
      </c>
      <c r="I16" s="21" t="n">
        <v>0.7296</v>
      </c>
      <c r="J16" s="21" t="n">
        <v>0.7296</v>
      </c>
      <c r="K16" s="3" t="s">
        <v>73</v>
      </c>
    </row>
    <row r="17" customFormat="false" ht="15" hidden="false" customHeight="false" outlineLevel="0" collapsed="false">
      <c r="A17" s="12" t="s">
        <v>74</v>
      </c>
      <c r="B17" s="12" t="s">
        <v>62</v>
      </c>
      <c r="D17" s="18" t="n">
        <v>2516.8</v>
      </c>
      <c r="K17" s="3" t="s">
        <v>75</v>
      </c>
    </row>
    <row r="19" customFormat="false" ht="15" hidden="false" customHeight="false" outlineLevel="0" collapsed="false">
      <c r="A19" s="14" t="s">
        <v>76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5" hidden="false" customHeight="false" outlineLevel="0" collapsed="false">
      <c r="A20" s="16" t="s">
        <v>40</v>
      </c>
      <c r="B20" s="17" t="s">
        <v>41</v>
      </c>
      <c r="C20" s="17" t="s">
        <v>77</v>
      </c>
      <c r="D20" s="17"/>
      <c r="E20" s="17"/>
      <c r="F20" s="17"/>
      <c r="G20" s="17"/>
      <c r="H20" s="17"/>
      <c r="I20" s="17"/>
      <c r="J20" s="17"/>
      <c r="K20" s="17" t="s">
        <v>50</v>
      </c>
    </row>
    <row r="21" customFormat="false" ht="15" hidden="false" customHeight="false" outlineLevel="0" collapsed="false">
      <c r="A21" s="12" t="s">
        <v>78</v>
      </c>
      <c r="B21" s="12"/>
      <c r="C21" s="21" t="n">
        <v>20.43</v>
      </c>
      <c r="K21" s="3" t="s">
        <v>79</v>
      </c>
    </row>
    <row r="22" customFormat="false" ht="15" hidden="false" customHeight="false" outlineLevel="0" collapsed="false">
      <c r="A22" s="12" t="s">
        <v>80</v>
      </c>
      <c r="B22" s="12"/>
      <c r="C22" s="22" t="n">
        <v>1</v>
      </c>
      <c r="K22" s="3" t="s">
        <v>81</v>
      </c>
    </row>
    <row r="23" customFormat="false" ht="15" hidden="false" customHeight="false" outlineLevel="0" collapsed="false">
      <c r="A23" s="12" t="s">
        <v>82</v>
      </c>
      <c r="B23" s="12" t="s">
        <v>69</v>
      </c>
      <c r="C23" s="18" t="n">
        <v>1215.7</v>
      </c>
      <c r="K23" s="3" t="s">
        <v>83</v>
      </c>
    </row>
    <row r="24" customFormat="false" ht="15" hidden="false" customHeight="false" outlineLevel="0" collapsed="false">
      <c r="A24" s="12" t="s">
        <v>84</v>
      </c>
      <c r="B24" s="12" t="s">
        <v>69</v>
      </c>
      <c r="C24" s="23" t="n">
        <v>2516.8</v>
      </c>
      <c r="K24" s="3" t="s">
        <v>85</v>
      </c>
    </row>
    <row r="25" customFormat="false" ht="15" hidden="false" customHeight="false" outlineLevel="0" collapsed="false">
      <c r="A25" s="12" t="s">
        <v>86</v>
      </c>
      <c r="B25" s="12"/>
      <c r="C25" s="21" t="n">
        <v>0.69</v>
      </c>
      <c r="K25" s="3" t="s">
        <v>87</v>
      </c>
    </row>
    <row r="26" customFormat="false" ht="15" hidden="false" customHeight="false" outlineLevel="0" collapsed="false">
      <c r="A26" s="12" t="s">
        <v>88</v>
      </c>
      <c r="B26" s="12"/>
      <c r="C26" s="24" t="n">
        <v>0.055</v>
      </c>
      <c r="K26" s="3" t="s">
        <v>89</v>
      </c>
    </row>
    <row r="27" customFormat="false" ht="15" hidden="false" customHeight="false" outlineLevel="0" collapsed="false">
      <c r="A27" s="12" t="s">
        <v>90</v>
      </c>
      <c r="B27" s="12"/>
      <c r="C27" s="24" t="n">
        <v>0.23</v>
      </c>
      <c r="K27" s="3" t="s">
        <v>91</v>
      </c>
    </row>
    <row r="28" customFormat="false" ht="15" hidden="false" customHeight="false" outlineLevel="0" collapsed="false">
      <c r="A28" s="12" t="s">
        <v>92</v>
      </c>
      <c r="B28" s="12" t="s">
        <v>69</v>
      </c>
      <c r="C28" s="23" t="n">
        <v>2516.8</v>
      </c>
      <c r="K28" s="3" t="s">
        <v>85</v>
      </c>
    </row>
    <row r="29" customFormat="false" ht="15" hidden="false" customHeight="false" outlineLevel="0" collapsed="false">
      <c r="A29" s="12" t="s">
        <v>93</v>
      </c>
      <c r="B29" s="12"/>
      <c r="C29" s="24" t="n">
        <v>0.5</v>
      </c>
      <c r="K29" s="3" t="s">
        <v>94</v>
      </c>
    </row>
    <row r="30" customFormat="false" ht="15" hidden="false" customHeight="false" outlineLevel="0" collapsed="false">
      <c r="A30" s="12" t="s">
        <v>95</v>
      </c>
      <c r="B30" s="12"/>
      <c r="C30" s="25" t="n">
        <v>6.5</v>
      </c>
      <c r="K30" s="3" t="s">
        <v>96</v>
      </c>
    </row>
    <row r="31" customFormat="false" ht="15" hidden="false" customHeight="false" outlineLevel="0" collapsed="false">
      <c r="A31" s="12" t="s">
        <v>97</v>
      </c>
      <c r="B31" s="12"/>
      <c r="C31" s="25" t="n">
        <v>0.08</v>
      </c>
      <c r="K31" s="3" t="s">
        <v>98</v>
      </c>
    </row>
    <row r="32" customFormat="false" ht="15" hidden="false" customHeight="false" outlineLevel="0" collapsed="false">
      <c r="A32" s="12" t="s">
        <v>99</v>
      </c>
      <c r="B32" s="12"/>
      <c r="C32" s="21" t="n">
        <v>0.7296</v>
      </c>
      <c r="K32" s="3" t="s">
        <v>100</v>
      </c>
    </row>
    <row r="33" customFormat="false" ht="15" hidden="false" customHeight="false" outlineLevel="0" collapsed="false">
      <c r="A33" s="12" t="s">
        <v>101</v>
      </c>
      <c r="B33" s="12"/>
      <c r="C33" s="21" t="n">
        <v>1</v>
      </c>
      <c r="K33" s="3" t="s">
        <v>102</v>
      </c>
    </row>
    <row r="34" customFormat="false" ht="15" hidden="false" customHeight="false" outlineLevel="0" collapsed="false">
      <c r="A34" s="12" t="s">
        <v>103</v>
      </c>
      <c r="B34" s="12"/>
      <c r="C34" s="24" t="n">
        <v>0.15</v>
      </c>
      <c r="K34" s="3" t="s">
        <v>104</v>
      </c>
    </row>
    <row r="35" customFormat="false" ht="15" hidden="false" customHeight="false" outlineLevel="0" collapsed="false">
      <c r="A35" s="12" t="s">
        <v>105</v>
      </c>
      <c r="B35" s="12"/>
      <c r="C35" s="24" t="n">
        <v>0</v>
      </c>
      <c r="K35" s="3" t="s">
        <v>106</v>
      </c>
    </row>
    <row r="36" customFormat="false" ht="15" hidden="false" customHeight="false" outlineLevel="0" collapsed="false">
      <c r="A36" s="12" t="s">
        <v>107</v>
      </c>
      <c r="B36" s="12" t="s">
        <v>69</v>
      </c>
      <c r="C36" s="23" t="n">
        <v>0</v>
      </c>
      <c r="K36" s="3" t="s">
        <v>108</v>
      </c>
    </row>
    <row r="37" customFormat="false" ht="15" hidden="false" customHeight="false" outlineLevel="0" collapsed="false">
      <c r="A37" s="12" t="s">
        <v>109</v>
      </c>
      <c r="B37" s="12" t="s">
        <v>110</v>
      </c>
      <c r="C37" s="26" t="n">
        <f aca="false">1354.6/(388.894*91)*1000</f>
        <v>38.2770479506351</v>
      </c>
      <c r="K37" s="3" t="s">
        <v>111</v>
      </c>
    </row>
    <row r="38" customFormat="false" ht="15" hidden="false" customHeight="false" outlineLevel="0" collapsed="false">
      <c r="A38" s="12" t="s">
        <v>112</v>
      </c>
      <c r="B38" s="12" t="s">
        <v>110</v>
      </c>
      <c r="C38" s="25" t="n">
        <v>0.6</v>
      </c>
      <c r="K38" s="3" t="s">
        <v>113</v>
      </c>
    </row>
    <row r="39" customFormat="false" ht="15" hidden="false" customHeight="false" outlineLevel="0" collapsed="false">
      <c r="A39" s="12" t="s">
        <v>114</v>
      </c>
      <c r="B39" s="12" t="s">
        <v>52</v>
      </c>
      <c r="C39" s="21" t="n">
        <v>92.79</v>
      </c>
      <c r="K39" s="3" t="s">
        <v>115</v>
      </c>
    </row>
    <row r="40" customFormat="false" ht="15" hidden="false" customHeight="false" outlineLevel="0" collapsed="false">
      <c r="A40" s="12" t="s">
        <v>116</v>
      </c>
      <c r="B40" s="12" t="s">
        <v>62</v>
      </c>
      <c r="C40" s="23" t="n">
        <v>110</v>
      </c>
      <c r="K40" s="3" t="s">
        <v>117</v>
      </c>
    </row>
    <row r="41" customFormat="false" ht="15" hidden="false" customHeight="false" outlineLevel="0" collapsed="false">
      <c r="A41" s="12" t="s">
        <v>118</v>
      </c>
      <c r="B41" s="12" t="s">
        <v>119</v>
      </c>
      <c r="C41" s="24" t="n">
        <v>0.0497</v>
      </c>
      <c r="K41" s="3" t="s">
        <v>120</v>
      </c>
    </row>
    <row r="42" customFormat="false" ht="15" hidden="false" customHeight="false" outlineLevel="0" collapsed="false">
      <c r="A42" s="12" t="s">
        <v>121</v>
      </c>
      <c r="B42" s="12" t="s">
        <v>119</v>
      </c>
      <c r="C42" s="24" t="n">
        <v>0.05</v>
      </c>
      <c r="K42" s="3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3" t="s">
        <v>123</v>
      </c>
    </row>
    <row r="2" customFormat="false" ht="15" hidden="false" customHeight="false" outlineLevel="0" collapsed="false">
      <c r="A2" s="3" t="s">
        <v>124</v>
      </c>
    </row>
    <row r="4" customFormat="false" ht="15" hidden="false" customHeight="false" outlineLevel="0" collapsed="false">
      <c r="A4" s="16" t="s">
        <v>125</v>
      </c>
      <c r="B4" s="17" t="s">
        <v>41</v>
      </c>
      <c r="C4" s="17" t="s">
        <v>42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 t="s">
        <v>48</v>
      </c>
      <c r="J4" s="17" t="s">
        <v>49</v>
      </c>
      <c r="K4" s="17" t="s">
        <v>126</v>
      </c>
    </row>
    <row r="5" customFormat="false" ht="15" hidden="false" customHeight="false" outlineLevel="0" collapsed="false">
      <c r="A5" s="14" t="s">
        <v>127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customFormat="false" ht="15" hidden="false" customHeight="false" outlineLevel="0" collapsed="false">
      <c r="A6" s="9" t="s">
        <v>55</v>
      </c>
      <c r="B6" s="12" t="s">
        <v>56</v>
      </c>
      <c r="D6" s="27" t="n">
        <f aca="false">Inputs!D10</f>
        <v>390.155</v>
      </c>
      <c r="E6" s="27" t="n">
        <f aca="false">Inputs!E10</f>
        <v>382.5</v>
      </c>
      <c r="F6" s="28" t="n">
        <f aca="false">(D6*D7+E6*E7)/F7</f>
        <v>386.29604109589</v>
      </c>
      <c r="G6" s="27" t="n">
        <f aca="false">Inputs!G10</f>
        <v>397</v>
      </c>
      <c r="H6" s="27" t="n">
        <f aca="false">Inputs!H10</f>
        <v>409</v>
      </c>
      <c r="I6" s="27" t="n">
        <f aca="false">Inputs!I10</f>
        <v>421.3</v>
      </c>
      <c r="J6" s="27" t="n">
        <f aca="false">Inputs!J10</f>
        <v>433.9</v>
      </c>
      <c r="K6" s="3"/>
    </row>
    <row r="7" customFormat="false" ht="15" hidden="false" customHeight="false" outlineLevel="0" collapsed="false">
      <c r="A7" s="9" t="s">
        <v>128</v>
      </c>
      <c r="B7" s="12" t="s">
        <v>59</v>
      </c>
      <c r="D7" s="29" t="n">
        <f aca="false">Inputs!D11</f>
        <v>181</v>
      </c>
      <c r="E7" s="29" t="n">
        <f aca="false">Inputs!E11</f>
        <v>184</v>
      </c>
      <c r="F7" s="30" t="n">
        <f aca="false">D7+E7</f>
        <v>365</v>
      </c>
      <c r="G7" s="29" t="n">
        <f aca="false">Inputs!G11</f>
        <v>365</v>
      </c>
      <c r="H7" s="29" t="n">
        <f aca="false">Inputs!H11</f>
        <v>365</v>
      </c>
      <c r="I7" s="29" t="n">
        <f aca="false">Inputs!I11</f>
        <v>365</v>
      </c>
      <c r="J7" s="29" t="n">
        <f aca="false">Inputs!J11</f>
        <v>365</v>
      </c>
      <c r="K7" s="3"/>
    </row>
    <row r="8" customFormat="false" ht="15" hidden="false" customHeight="false" outlineLevel="0" collapsed="false">
      <c r="A8" s="9" t="s">
        <v>129</v>
      </c>
      <c r="B8" s="12" t="s">
        <v>130</v>
      </c>
      <c r="D8" s="28" t="n">
        <f aca="false">D6*D7/1000</f>
        <v>70.618055</v>
      </c>
      <c r="E8" s="28" t="n">
        <f aca="false">E6*E7/1000</f>
        <v>70.38</v>
      </c>
      <c r="F8" s="28" t="n">
        <f aca="false">D8+E8</f>
        <v>140.998055</v>
      </c>
      <c r="G8" s="28" t="n">
        <f aca="false">G6*G7/1000</f>
        <v>144.905</v>
      </c>
      <c r="H8" s="28" t="n">
        <f aca="false">H6*H7/1000</f>
        <v>149.285</v>
      </c>
      <c r="I8" s="28" t="n">
        <f aca="false">I6*I7/1000</f>
        <v>153.7745</v>
      </c>
      <c r="J8" s="28" t="n">
        <f aca="false">J6*J7/1000</f>
        <v>158.3735</v>
      </c>
      <c r="K8" s="3"/>
    </row>
    <row r="9" customFormat="false" ht="15" hidden="false" customHeight="false" outlineLevel="0" collapsed="false">
      <c r="A9" s="9" t="s">
        <v>51</v>
      </c>
      <c r="B9" s="12" t="s">
        <v>52</v>
      </c>
      <c r="E9" s="27" t="n">
        <f aca="false">Inputs!E6</f>
        <v>91.5</v>
      </c>
      <c r="G9" s="27" t="n">
        <f aca="false">Inputs!G6</f>
        <v>80</v>
      </c>
      <c r="H9" s="27" t="n">
        <f aca="false">Inputs!H6</f>
        <v>72</v>
      </c>
      <c r="I9" s="27" t="n">
        <f aca="false">Inputs!I6</f>
        <v>70</v>
      </c>
      <c r="J9" s="27" t="n">
        <f aca="false">Inputs!J6</f>
        <v>70</v>
      </c>
      <c r="K9" s="3"/>
    </row>
    <row r="10" customFormat="false" ht="15" hidden="false" customHeight="false" outlineLevel="0" collapsed="false">
      <c r="A10" s="9" t="s">
        <v>131</v>
      </c>
      <c r="B10" s="12" t="s">
        <v>110</v>
      </c>
      <c r="D10" s="31" t="n">
        <f aca="false">D12/D8</f>
        <v>33.7010131474168</v>
      </c>
      <c r="E10" s="31" t="n">
        <f aca="false">Inputs!$C$37+Inputs!$C$38*(E9-Inputs!$C$39)</f>
        <v>37.5030479506351</v>
      </c>
      <c r="F10" s="31" t="n">
        <f aca="false">F12/F8</f>
        <v>35.5988209537053</v>
      </c>
      <c r="G10" s="31" t="n">
        <f aca="false">Inputs!$C$37+Inputs!$C$38*(G9-Inputs!$C$39)</f>
        <v>30.6030479506351</v>
      </c>
      <c r="H10" s="31" t="n">
        <f aca="false">Inputs!$C$37+Inputs!$C$38*(H9-Inputs!$C$39)</f>
        <v>25.8030479506351</v>
      </c>
      <c r="I10" s="31" t="n">
        <f aca="false">Inputs!$C$37+Inputs!$C$38*(I9-Inputs!$C$39)</f>
        <v>24.6030479506351</v>
      </c>
      <c r="J10" s="31" t="n">
        <f aca="false">Inputs!$C$37+Inputs!$C$38*(J9-Inputs!$C$39)</f>
        <v>24.6030479506351</v>
      </c>
      <c r="K10" s="3" t="s">
        <v>132</v>
      </c>
    </row>
    <row r="11" customFormat="false" ht="15" hidden="false" customHeight="false" outlineLevel="0" collapsed="false">
      <c r="A11" s="14" t="s">
        <v>133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4" t="s">
        <v>134</v>
      </c>
      <c r="B12" s="12" t="s">
        <v>62</v>
      </c>
      <c r="D12" s="32" t="n">
        <f aca="false">Inputs!D12</f>
        <v>2379.9</v>
      </c>
      <c r="E12" s="32" t="n">
        <f aca="false">E8*E10</f>
        <v>2639.4645147657</v>
      </c>
      <c r="F12" s="32" t="n">
        <f aca="false">D12+E12</f>
        <v>5019.3645147657</v>
      </c>
      <c r="G12" s="32" t="n">
        <f aca="false">G8*G10</f>
        <v>4434.53466328678</v>
      </c>
      <c r="H12" s="32" t="n">
        <f aca="false">H8*H10</f>
        <v>3852.00801331056</v>
      </c>
      <c r="I12" s="32" t="n">
        <f aca="false">I8*I10</f>
        <v>3783.32139708494</v>
      </c>
      <c r="J12" s="32" t="n">
        <f aca="false">J8*J10</f>
        <v>3896.47081460991</v>
      </c>
      <c r="K12" s="3"/>
    </row>
    <row r="13" customFormat="false" ht="15" hidden="false" customHeight="false" outlineLevel="0" collapsed="false">
      <c r="A13" s="9" t="s">
        <v>68</v>
      </c>
      <c r="B13" s="12" t="s">
        <v>69</v>
      </c>
      <c r="D13" s="27" t="n">
        <f aca="false">Inputs!D15</f>
        <v>1215.7</v>
      </c>
      <c r="E13" s="27" t="n">
        <f aca="false">Inputs!E15</f>
        <v>1215.7</v>
      </c>
      <c r="F13" s="27" t="n">
        <f aca="false">Inputs!F15</f>
        <v>1215.7</v>
      </c>
      <c r="G13" s="27" t="n">
        <f aca="false">Inputs!G15</f>
        <v>1215.7</v>
      </c>
      <c r="H13" s="27" t="n">
        <f aca="false">Inputs!H15</f>
        <v>1215.7</v>
      </c>
      <c r="I13" s="27" t="n">
        <f aca="false">Inputs!I15</f>
        <v>1215.7</v>
      </c>
      <c r="J13" s="27" t="n">
        <f aca="false">Inputs!J15</f>
        <v>1215.7</v>
      </c>
      <c r="K13" s="3"/>
    </row>
    <row r="14" customFormat="false" ht="15" hidden="false" customHeight="false" outlineLevel="0" collapsed="false">
      <c r="A14" s="4" t="s">
        <v>135</v>
      </c>
      <c r="B14" s="12" t="s">
        <v>72</v>
      </c>
      <c r="D14" s="33" t="n">
        <f aca="false">D12/D13</f>
        <v>1.95763757505964</v>
      </c>
      <c r="E14" s="33" t="n">
        <f aca="false">E12/E13</f>
        <v>2.17114791047602</v>
      </c>
      <c r="F14" s="33" t="n">
        <f aca="false">F12/F13</f>
        <v>4.12878548553566</v>
      </c>
      <c r="G14" s="33" t="n">
        <f aca="false">G12/G13</f>
        <v>3.64772120036751</v>
      </c>
      <c r="H14" s="33" t="n">
        <f aca="false">H12/H13</f>
        <v>3.16855146278733</v>
      </c>
      <c r="I14" s="33" t="n">
        <f aca="false">I12/I13</f>
        <v>3.11205181959771</v>
      </c>
      <c r="J14" s="33" t="n">
        <f aca="false">J12/J13</f>
        <v>3.20512528963552</v>
      </c>
      <c r="K14" s="3"/>
    </row>
    <row r="15" customFormat="false" ht="15" hidden="false" customHeight="false" outlineLevel="0" collapsed="false">
      <c r="A15" s="9" t="s">
        <v>66</v>
      </c>
      <c r="B15" s="12" t="s">
        <v>62</v>
      </c>
      <c r="D15" s="27" t="n">
        <f aca="false">Inputs!D13</f>
        <v>1106.4</v>
      </c>
      <c r="E15" s="27" t="n">
        <f aca="false">Inputs!E14</f>
        <v>993.6</v>
      </c>
      <c r="F15" s="28" t="n">
        <f aca="false">D15+E15</f>
        <v>2100</v>
      </c>
      <c r="G15" s="27" t="n">
        <f aca="false">Inputs!G14</f>
        <v>2100</v>
      </c>
      <c r="H15" s="27" t="n">
        <f aca="false">Inputs!H14</f>
        <v>2100</v>
      </c>
      <c r="I15" s="27" t="n">
        <f aca="false">Inputs!I14</f>
        <v>2100</v>
      </c>
      <c r="J15" s="27" t="n">
        <f aca="false">Inputs!J14</f>
        <v>2100</v>
      </c>
      <c r="K15" s="3"/>
    </row>
    <row r="16" customFormat="false" ht="15" hidden="false" customHeight="false" outlineLevel="0" collapsed="false">
      <c r="A16" s="4" t="s">
        <v>136</v>
      </c>
      <c r="B16" s="12" t="s">
        <v>62</v>
      </c>
      <c r="D16" s="32" t="n">
        <f aca="false">D12-D15</f>
        <v>1273.5</v>
      </c>
      <c r="E16" s="32" t="n">
        <f aca="false">E12-E15</f>
        <v>1645.8645147657</v>
      </c>
      <c r="F16" s="32" t="n">
        <f aca="false">D16+E16</f>
        <v>2919.3645147657</v>
      </c>
      <c r="G16" s="32" t="n">
        <f aca="false">G12-G15</f>
        <v>2334.53466328678</v>
      </c>
      <c r="H16" s="32" t="n">
        <f aca="false">H12-H15</f>
        <v>1752.00801331056</v>
      </c>
      <c r="I16" s="32" t="n">
        <f aca="false">I12-I15</f>
        <v>1683.32139708494</v>
      </c>
      <c r="J16" s="32" t="n">
        <f aca="false">J12-J15</f>
        <v>1796.47081460991</v>
      </c>
      <c r="K16" s="3"/>
    </row>
    <row r="17" customFormat="false" ht="15" hidden="false" customHeight="false" outlineLevel="0" collapsed="false">
      <c r="A17" s="9" t="s">
        <v>137</v>
      </c>
      <c r="B17" s="12" t="s">
        <v>72</v>
      </c>
      <c r="D17" s="31" t="n">
        <f aca="false">D16/D13</f>
        <v>1.04754462449618</v>
      </c>
      <c r="E17" s="31" t="n">
        <f aca="false">E16/E13</f>
        <v>1.35384100910233</v>
      </c>
      <c r="F17" s="31" t="n">
        <f aca="false">F16/F13</f>
        <v>2.4013856335985</v>
      </c>
      <c r="G17" s="31" t="n">
        <f aca="false">G16/G13</f>
        <v>1.92032134843035</v>
      </c>
      <c r="H17" s="31" t="n">
        <f aca="false">H16/H13</f>
        <v>1.44115161085018</v>
      </c>
      <c r="I17" s="31" t="n">
        <f aca="false">I16/I13</f>
        <v>1.38465196766055</v>
      </c>
      <c r="J17" s="31" t="n">
        <f aca="false">J16/J13</f>
        <v>1.47772543769837</v>
      </c>
      <c r="K17" s="3"/>
    </row>
    <row r="18" customFormat="false" ht="15" hidden="false" customHeight="false" outlineLevel="0" collapsed="false">
      <c r="A18" s="9" t="s">
        <v>138</v>
      </c>
      <c r="B18" s="12" t="s">
        <v>62</v>
      </c>
      <c r="F18" s="28" t="n">
        <f aca="false">F12+Inputs!$C$40</f>
        <v>5129.3645147657</v>
      </c>
      <c r="G18" s="28" t="n">
        <f aca="false">G12+Inputs!$C$40</f>
        <v>4544.53466328678</v>
      </c>
      <c r="H18" s="28" t="n">
        <f aca="false">H12+Inputs!$C$40</f>
        <v>3962.00801331056</v>
      </c>
      <c r="I18" s="28" t="n">
        <f aca="false">I12+Inputs!$C$40</f>
        <v>3893.32139708494</v>
      </c>
      <c r="J18" s="28" t="n">
        <f aca="false">J12+Inputs!$C$40</f>
        <v>4006.47081460991</v>
      </c>
      <c r="K18" s="3"/>
    </row>
    <row r="19" customFormat="false" ht="15" hidden="false" customHeight="false" outlineLevel="0" collapsed="false">
      <c r="A19" s="9" t="s">
        <v>139</v>
      </c>
      <c r="B19" s="12" t="s">
        <v>62</v>
      </c>
      <c r="G19" s="28" t="n">
        <f aca="false">G16+Inputs!$C$40</f>
        <v>2444.53466328678</v>
      </c>
      <c r="H19" s="28" t="n">
        <f aca="false">H16+Inputs!$C$40</f>
        <v>1862.00801331056</v>
      </c>
      <c r="I19" s="28" t="n">
        <f aca="false">I16+Inputs!$C$40</f>
        <v>1793.32139708494</v>
      </c>
      <c r="J19" s="28" t="n">
        <f aca="false">J16+Inputs!$C$40</f>
        <v>1906.47081460991</v>
      </c>
      <c r="K19" s="3"/>
    </row>
    <row r="20" customFormat="false" ht="15" hidden="false" customHeight="false" outlineLevel="0" collapsed="false">
      <c r="A20" s="9" t="s">
        <v>71</v>
      </c>
      <c r="B20" s="12" t="s">
        <v>72</v>
      </c>
      <c r="D20" s="34" t="n">
        <f aca="false">Inputs!D16</f>
        <v>0.36</v>
      </c>
      <c r="E20" s="34" t="n">
        <f aca="false">Inputs!E16</f>
        <v>0.3648</v>
      </c>
      <c r="F20" s="31" t="n">
        <f aca="false">D20+E20</f>
        <v>0.7248</v>
      </c>
      <c r="G20" s="34" t="n">
        <f aca="false">Inputs!G16</f>
        <v>0.7296</v>
      </c>
      <c r="H20" s="34" t="n">
        <f aca="false">Inputs!H16</f>
        <v>0.7296</v>
      </c>
      <c r="I20" s="34" t="n">
        <f aca="false">Inputs!I16</f>
        <v>0.7296</v>
      </c>
      <c r="J20" s="34" t="n">
        <f aca="false">Inputs!J16</f>
        <v>0.7296</v>
      </c>
      <c r="K20" s="3"/>
    </row>
    <row r="21" customFormat="false" ht="15" hidden="false" customHeight="false" outlineLevel="0" collapsed="false">
      <c r="A21" s="9" t="s">
        <v>140</v>
      </c>
      <c r="B21" s="12" t="s">
        <v>62</v>
      </c>
      <c r="E21" s="28" t="n">
        <f aca="false">E20*E13</f>
        <v>443.48736</v>
      </c>
      <c r="G21" s="28" t="n">
        <f aca="false">G20*G13</f>
        <v>886.97472</v>
      </c>
      <c r="H21" s="28" t="n">
        <f aca="false">H20*H13</f>
        <v>886.97472</v>
      </c>
      <c r="I21" s="28" t="n">
        <f aca="false">I20*I13</f>
        <v>886.97472</v>
      </c>
      <c r="J21" s="28" t="n">
        <f aca="false">J20*J13</f>
        <v>886.97472</v>
      </c>
      <c r="K21" s="3"/>
    </row>
    <row r="22" customFormat="false" ht="15" hidden="false" customHeight="false" outlineLevel="0" collapsed="false">
      <c r="A22" s="14" t="s">
        <v>108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5" hidden="false" customHeight="false" outlineLevel="0" collapsed="false">
      <c r="A23" s="4" t="s">
        <v>141</v>
      </c>
      <c r="B23" s="12" t="s">
        <v>62</v>
      </c>
      <c r="D23" s="32" t="n">
        <f aca="false">Inputs!D17</f>
        <v>2516.8</v>
      </c>
      <c r="E23" s="32" t="n">
        <f aca="false">D23-E16+E21</f>
        <v>1314.4228452343</v>
      </c>
      <c r="F23" s="32" t="n">
        <f aca="false">E23</f>
        <v>1314.4228452343</v>
      </c>
      <c r="G23" s="32" t="n">
        <f aca="false">F23-G16+G21</f>
        <v>-133.137098052475</v>
      </c>
      <c r="H23" s="32" t="n">
        <f aca="false">G23-H16+H21</f>
        <v>-998.170391363034</v>
      </c>
      <c r="I23" s="32" t="n">
        <f aca="false">H23-I16+I21</f>
        <v>-1794.51706844797</v>
      </c>
      <c r="J23" s="32" t="n">
        <f aca="false">I23-J16+J21</f>
        <v>-2704.01316305788</v>
      </c>
      <c r="K23" s="3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3" t="s">
        <v>143</v>
      </c>
    </row>
    <row r="2" customFormat="false" ht="15" hidden="false" customHeight="false" outlineLevel="0" collapsed="false">
      <c r="A2" s="3" t="s">
        <v>144</v>
      </c>
    </row>
    <row r="4" customFormat="false" ht="15" hidden="false" customHeight="false" outlineLevel="0" collapsed="false">
      <c r="A4" s="14" t="s">
        <v>145</v>
      </c>
      <c r="B4" s="15"/>
      <c r="C4" s="15"/>
    </row>
    <row r="5" customFormat="false" ht="15" hidden="false" customHeight="false" outlineLevel="0" collapsed="false">
      <c r="A5" s="12" t="s">
        <v>146</v>
      </c>
      <c r="B5" s="34" t="n">
        <f aca="false">Inputs!$C$21</f>
        <v>20.43</v>
      </c>
      <c r="C5" s="3" t="s">
        <v>79</v>
      </c>
    </row>
    <row r="6" customFormat="false" ht="15" hidden="false" customHeight="false" outlineLevel="0" collapsed="false">
      <c r="A6" s="12" t="s">
        <v>147</v>
      </c>
      <c r="B6" s="31" t="n">
        <f aca="false">Inputs!$C$21*Inputs!$C$22</f>
        <v>20.43</v>
      </c>
      <c r="C6" s="3" t="s">
        <v>148</v>
      </c>
    </row>
    <row r="7" customFormat="false" ht="15" hidden="false" customHeight="false" outlineLevel="0" collapsed="false">
      <c r="A7" s="12" t="s">
        <v>149</v>
      </c>
      <c r="B7" s="27" t="n">
        <f aca="false">Inputs!$C$23</f>
        <v>1215.7</v>
      </c>
      <c r="C7" s="3"/>
    </row>
    <row r="8" customFormat="false" ht="15" hidden="false" customHeight="false" outlineLevel="0" collapsed="false">
      <c r="A8" s="12" t="s">
        <v>150</v>
      </c>
      <c r="B8" s="35" t="n">
        <f aca="false">Valuation!$B$6*Valuation!$B$7</f>
        <v>24836.751</v>
      </c>
      <c r="C8" s="3"/>
    </row>
    <row r="9" customFormat="false" ht="15" hidden="false" customHeight="false" outlineLevel="0" collapsed="false">
      <c r="A9" s="12" t="s">
        <v>151</v>
      </c>
      <c r="B9" s="36" t="n">
        <f aca="false">Inputs!$C$24</f>
        <v>2516.8</v>
      </c>
      <c r="C9" s="3" t="s">
        <v>152</v>
      </c>
    </row>
    <row r="10" customFormat="false" ht="15" hidden="false" customHeight="false" outlineLevel="0" collapsed="false">
      <c r="A10" s="12" t="s">
        <v>153</v>
      </c>
      <c r="B10" s="37" t="n">
        <f aca="false">Valuation!$B$8+Valuation!$B$9</f>
        <v>27353.551</v>
      </c>
      <c r="C10" s="3" t="s">
        <v>154</v>
      </c>
    </row>
    <row r="12" customFormat="false" ht="15" hidden="false" customHeight="false" outlineLevel="0" collapsed="false">
      <c r="A12" s="14" t="s">
        <v>155</v>
      </c>
      <c r="B12" s="15"/>
      <c r="C12" s="15"/>
    </row>
    <row r="13" customFormat="false" ht="15" hidden="false" customHeight="false" outlineLevel="0" collapsed="false">
      <c r="A13" s="12" t="s">
        <v>156</v>
      </c>
      <c r="B13" s="38" t="n">
        <f aca="false">Inputs!$C$41</f>
        <v>0.0497</v>
      </c>
      <c r="C13" s="3" t="s">
        <v>157</v>
      </c>
    </row>
    <row r="14" customFormat="false" ht="15" hidden="false" customHeight="false" outlineLevel="0" collapsed="false">
      <c r="A14" s="12" t="s">
        <v>86</v>
      </c>
      <c r="B14" s="34" t="n">
        <f aca="false">Inputs!$C$25</f>
        <v>0.69</v>
      </c>
      <c r="C14" s="3" t="s">
        <v>87</v>
      </c>
    </row>
    <row r="15" customFormat="false" ht="15" hidden="false" customHeight="false" outlineLevel="0" collapsed="false">
      <c r="A15" s="12" t="s">
        <v>121</v>
      </c>
      <c r="B15" s="38" t="n">
        <f aca="false">Inputs!$C$42</f>
        <v>0.05</v>
      </c>
      <c r="C15" s="3" t="s">
        <v>157</v>
      </c>
    </row>
    <row r="16" customFormat="false" ht="15" hidden="false" customHeight="false" outlineLevel="0" collapsed="false">
      <c r="A16" s="12" t="s">
        <v>158</v>
      </c>
      <c r="B16" s="39" t="n">
        <f aca="false">Valuation!$B$13+Valuation!$B$14*Valuation!$B$15</f>
        <v>0.0842</v>
      </c>
      <c r="C16" s="3" t="s">
        <v>159</v>
      </c>
    </row>
    <row r="17" customFormat="false" ht="15" hidden="false" customHeight="false" outlineLevel="0" collapsed="false">
      <c r="A17" s="12" t="s">
        <v>88</v>
      </c>
      <c r="B17" s="38" t="n">
        <f aca="false">Inputs!$C$26</f>
        <v>0.055</v>
      </c>
      <c r="C17" s="3" t="s">
        <v>89</v>
      </c>
    </row>
    <row r="18" customFormat="false" ht="15" hidden="false" customHeight="false" outlineLevel="0" collapsed="false">
      <c r="A18" s="12" t="s">
        <v>90</v>
      </c>
      <c r="B18" s="38" t="n">
        <f aca="false">Inputs!$C$27</f>
        <v>0.23</v>
      </c>
      <c r="C18" s="3"/>
    </row>
    <row r="19" customFormat="false" ht="15" hidden="false" customHeight="false" outlineLevel="0" collapsed="false">
      <c r="A19" s="12" t="s">
        <v>160</v>
      </c>
      <c r="B19" s="39" t="n">
        <f aca="false">Inputs!$C$28/(Inputs!$C$28+Valuation!$B$8)</f>
        <v>0.0920099916826156</v>
      </c>
      <c r="C19" s="3" t="s">
        <v>161</v>
      </c>
    </row>
    <row r="20" customFormat="false" ht="15" hidden="false" customHeight="false" outlineLevel="0" collapsed="false">
      <c r="A20" s="12" t="s">
        <v>162</v>
      </c>
      <c r="B20" s="39" t="n">
        <f aca="false">Valuation!$B$16*(1-Valuation!$B$19)+Valuation!$B$17*(1-Valuation!$B$18)*Valuation!$B$19</f>
        <v>0.0803493818480825</v>
      </c>
      <c r="C20" s="3" t="s">
        <v>163</v>
      </c>
    </row>
    <row r="22" customFormat="false" ht="15" hidden="false" customHeight="false" outlineLevel="0" collapsed="false">
      <c r="A22" s="14" t="s">
        <v>164</v>
      </c>
      <c r="B22" s="15"/>
      <c r="C22" s="15"/>
    </row>
    <row r="23" customFormat="false" ht="15" hidden="false" customHeight="false" outlineLevel="0" collapsed="false">
      <c r="A23" s="12" t="s">
        <v>165</v>
      </c>
      <c r="B23" s="36" t="n">
        <f aca="false">Model!$G$18</f>
        <v>4544.53466328678</v>
      </c>
      <c r="C23" s="3"/>
    </row>
    <row r="24" customFormat="false" ht="15" hidden="false" customHeight="false" outlineLevel="0" collapsed="false">
      <c r="A24" s="12" t="s">
        <v>166</v>
      </c>
      <c r="B24" s="40" t="n">
        <f aca="false">Inputs!$C$30</f>
        <v>6.5</v>
      </c>
      <c r="C24" s="3" t="s">
        <v>96</v>
      </c>
    </row>
    <row r="25" customFormat="false" ht="15" hidden="false" customHeight="false" outlineLevel="0" collapsed="false">
      <c r="A25" s="12" t="s">
        <v>167</v>
      </c>
      <c r="B25" s="36" t="n">
        <f aca="false">Model!$F$23</f>
        <v>1314.4228452343</v>
      </c>
      <c r="C25" s="3"/>
    </row>
    <row r="26" customFormat="false" ht="15" hidden="false" customHeight="false" outlineLevel="0" collapsed="false">
      <c r="A26" s="12" t="s">
        <v>168</v>
      </c>
      <c r="B26" s="41" t="n">
        <f aca="false">(Valuation!$B$24*Valuation!$B$23-Valuation!$B$25)/Valuation!$B$7</f>
        <v>23.217119738529</v>
      </c>
      <c r="C26" s="3" t="s">
        <v>169</v>
      </c>
    </row>
    <row r="27" customFormat="false" ht="15" hidden="false" customHeight="false" outlineLevel="0" collapsed="false">
      <c r="A27" s="12" t="s">
        <v>170</v>
      </c>
      <c r="B27" s="36" t="n">
        <f aca="false">Model!$G$16</f>
        <v>2334.53466328678</v>
      </c>
      <c r="C27" s="3"/>
    </row>
    <row r="28" customFormat="false" ht="15" hidden="false" customHeight="false" outlineLevel="0" collapsed="false">
      <c r="A28" s="12" t="s">
        <v>171</v>
      </c>
      <c r="B28" s="38" t="n">
        <f aca="false">Inputs!$C$31</f>
        <v>0.08</v>
      </c>
      <c r="C28" s="3" t="s">
        <v>98</v>
      </c>
    </row>
    <row r="29" customFormat="false" ht="15" hidden="false" customHeight="false" outlineLevel="0" collapsed="false">
      <c r="A29" s="12" t="s">
        <v>172</v>
      </c>
      <c r="B29" s="41" t="n">
        <f aca="false">Valuation!$B$27/Valuation!$B$28/Valuation!$B$7</f>
        <v>24.0040168553794</v>
      </c>
      <c r="C29" s="3" t="s">
        <v>173</v>
      </c>
    </row>
    <row r="30" customFormat="false" ht="15" hidden="false" customHeight="false" outlineLevel="0" collapsed="false">
      <c r="A30" s="12" t="s">
        <v>174</v>
      </c>
      <c r="B30" s="42" t="n">
        <f aca="false">Valuation!$B$10/Valuation!$B$23</f>
        <v>6.01899930942916</v>
      </c>
      <c r="C30" s="3"/>
    </row>
    <row r="31" customFormat="false" ht="15" hidden="false" customHeight="false" outlineLevel="0" collapsed="false">
      <c r="A31" s="12" t="s">
        <v>175</v>
      </c>
      <c r="B31" s="39" t="n">
        <f aca="false">Valuation!$B$27/Valuation!$B$8</f>
        <v>0.0939951712398606</v>
      </c>
      <c r="C31" s="3"/>
    </row>
    <row r="32" customFormat="false" ht="15" hidden="false" customHeight="false" outlineLevel="0" collapsed="false">
      <c r="A32" s="14" t="s">
        <v>176</v>
      </c>
      <c r="B32" s="15"/>
      <c r="C32" s="15"/>
    </row>
    <row r="33" customFormat="false" ht="15" hidden="false" customHeight="false" outlineLevel="0" collapsed="false">
      <c r="A33" s="12" t="s">
        <v>177</v>
      </c>
      <c r="B33" s="43" t="n">
        <f aca="false">Inputs!$C$39+((Model!$G$20*Model!$G$13+Model!$G$15)/Model!$G$8-Inputs!$C$37)/Inputs!$C$38</f>
        <v>63.3504716505437</v>
      </c>
      <c r="C33" s="3" t="s">
        <v>178</v>
      </c>
    </row>
    <row r="34" customFormat="false" ht="15" hidden="false" customHeight="false" outlineLevel="0" collapsed="false">
      <c r="A34" s="14" t="s">
        <v>179</v>
      </c>
      <c r="B34" s="15"/>
      <c r="C34" s="15"/>
    </row>
    <row r="35" customFormat="false" ht="15" hidden="false" customHeight="false" outlineLevel="0" collapsed="false">
      <c r="A35" s="12" t="s">
        <v>180</v>
      </c>
      <c r="B35" s="38" t="n">
        <f aca="false">Inputs!$C$29</f>
        <v>0.5</v>
      </c>
      <c r="C35" s="3"/>
    </row>
    <row r="36" customFormat="false" ht="15" hidden="false" customHeight="false" outlineLevel="0" collapsed="false">
      <c r="A36" s="12" t="s">
        <v>181</v>
      </c>
      <c r="B36" s="44" t="n">
        <f aca="false">1-Inputs!$C$29</f>
        <v>0.5</v>
      </c>
      <c r="C36" s="3"/>
    </row>
    <row r="37" customFormat="false" ht="15" hidden="false" customHeight="false" outlineLevel="0" collapsed="false">
      <c r="A37" s="12" t="s">
        <v>182</v>
      </c>
      <c r="B37" s="41" t="n">
        <f aca="false">Valuation!$B$35*Valuation!$B$26+Valuation!$B$36*Valuation!$B$29</f>
        <v>23.6105682969542</v>
      </c>
      <c r="C37" s="3"/>
    </row>
    <row r="38" customFormat="false" ht="15" hidden="false" customHeight="false" outlineLevel="0" collapsed="false">
      <c r="A38" s="12" t="s">
        <v>182</v>
      </c>
      <c r="B38" s="41" t="n">
        <f aca="false">Valuation!$B$37/Inputs!$C$22</f>
        <v>23.6105682969542</v>
      </c>
      <c r="C38" s="3" t="s">
        <v>183</v>
      </c>
    </row>
    <row r="39" customFormat="false" ht="15" hidden="false" customHeight="false" outlineLevel="0" collapsed="false">
      <c r="A39" s="12" t="s">
        <v>184</v>
      </c>
      <c r="B39" s="45" t="n">
        <f aca="false">MROUND(Valuation!$B$38,Inputs!$C$33)</f>
        <v>24</v>
      </c>
      <c r="C39" s="3" t="s">
        <v>185</v>
      </c>
    </row>
    <row r="40" customFormat="false" ht="15" hidden="false" customHeight="false" outlineLevel="0" collapsed="false">
      <c r="A40" s="12" t="s">
        <v>186</v>
      </c>
      <c r="B40" s="34" t="n">
        <f aca="false">Inputs!$C$32</f>
        <v>0.7296</v>
      </c>
      <c r="C40" s="3" t="s">
        <v>100</v>
      </c>
    </row>
    <row r="41" customFormat="false" ht="15" hidden="false" customHeight="false" outlineLevel="0" collapsed="false">
      <c r="A41" s="12" t="s">
        <v>187</v>
      </c>
      <c r="B41" s="39" t="n">
        <f aca="false">Valuation!$B$39/Valuation!$B$5-1</f>
        <v>0.174743024963289</v>
      </c>
      <c r="C41" s="3"/>
    </row>
    <row r="42" customFormat="false" ht="15" hidden="false" customHeight="false" outlineLevel="0" collapsed="false">
      <c r="A42" s="12" t="s">
        <v>188</v>
      </c>
      <c r="B42" s="39" t="n">
        <f aca="false">Valuation!$B$40/Valuation!$B$5</f>
        <v>0.035712187958884</v>
      </c>
      <c r="C42" s="3"/>
    </row>
    <row r="43" customFormat="false" ht="15" hidden="false" customHeight="false" outlineLevel="0" collapsed="false">
      <c r="A43" s="12" t="s">
        <v>6</v>
      </c>
      <c r="B43" s="39" t="n">
        <f aca="false">Valuation!$B$41+Valuation!$B$42</f>
        <v>0.210455212922173</v>
      </c>
      <c r="C43" s="3" t="s">
        <v>189</v>
      </c>
    </row>
    <row r="44" customFormat="false" ht="15" hidden="false" customHeight="false" outlineLevel="0" collapsed="false">
      <c r="A44" s="12" t="s">
        <v>3</v>
      </c>
      <c r="B44" s="46" t="str">
        <f aca="false">IF(Valuation!$B$43&gt;Inputs!$C$34,"Buy",IF(Valuation!$B$43&gt;=0,"Hold","Sell"))</f>
        <v>Buy</v>
      </c>
      <c r="C44" s="3"/>
    </row>
    <row r="46" customFormat="false" ht="15" hidden="false" customHeight="false" outlineLevel="0" collapsed="false">
      <c r="A46" s="14" t="s">
        <v>190</v>
      </c>
      <c r="B46" s="15"/>
      <c r="C46" s="15"/>
    </row>
    <row r="47" customFormat="false" ht="15" hidden="false" customHeight="false" outlineLevel="0" collapsed="false">
      <c r="A47" s="3" t="s">
        <v>191</v>
      </c>
    </row>
    <row r="48" customFormat="false" ht="15" hidden="false" customHeight="false" outlineLevel="0" collapsed="false">
      <c r="A48" s="4" t="s">
        <v>192</v>
      </c>
      <c r="B48" s="4" t="s">
        <v>46</v>
      </c>
      <c r="C48" s="4" t="s">
        <v>47</v>
      </c>
      <c r="D48" s="4" t="s">
        <v>48</v>
      </c>
      <c r="E48" s="4" t="s">
        <v>49</v>
      </c>
    </row>
    <row r="49" customFormat="false" ht="15" hidden="false" customHeight="false" outlineLevel="0" collapsed="false">
      <c r="A49" s="12" t="s">
        <v>193</v>
      </c>
      <c r="B49" s="47" t="n">
        <f aca="false">Model!$G$19</f>
        <v>2444.53466328678</v>
      </c>
      <c r="C49" s="47" t="n">
        <f aca="false">Model!$H$19</f>
        <v>1862.00801331056</v>
      </c>
      <c r="D49" s="47" t="n">
        <f aca="false">Model!$I$19</f>
        <v>1793.32139708494</v>
      </c>
      <c r="E49" s="47" t="n">
        <f aca="false">Model!$J$19</f>
        <v>1906.47081460991</v>
      </c>
    </row>
    <row r="50" customFormat="false" ht="15" hidden="false" customHeight="false" outlineLevel="0" collapsed="false">
      <c r="A50" s="12" t="s">
        <v>194</v>
      </c>
      <c r="B50" s="48" t="n">
        <f aca="false">1/(1+Valuation!$B$20)^1</f>
        <v>0.925626484174375</v>
      </c>
      <c r="C50" s="48" t="n">
        <f aca="false">1/(1+Valuation!$B$20)^2</f>
        <v>0.856784388205015</v>
      </c>
      <c r="D50" s="48" t="n">
        <f aca="false">1/(1+Valuation!$B$20)^3</f>
        <v>0.793062320949701</v>
      </c>
      <c r="E50" s="48" t="n">
        <f aca="false">1/(1+Valuation!$B$20)^4</f>
        <v>0.734079487871841</v>
      </c>
    </row>
    <row r="51" customFormat="false" ht="15" hidden="false" customHeight="false" outlineLevel="0" collapsed="false">
      <c r="A51" s="12" t="s">
        <v>195</v>
      </c>
      <c r="B51" s="49" t="n">
        <f aca="false">B49*B50</f>
        <v>2262.72602582053</v>
      </c>
      <c r="C51" s="49" t="n">
        <f aca="false">C49*C50</f>
        <v>1595.33939651712</v>
      </c>
      <c r="D51" s="49" t="n">
        <f aca="false">D49*D50</f>
        <v>1422.21562938094</v>
      </c>
      <c r="E51" s="49" t="n">
        <f aca="false">E49*E50</f>
        <v>1399.50111923145</v>
      </c>
    </row>
    <row r="53" customFormat="false" ht="15" hidden="false" customHeight="false" outlineLevel="0" collapsed="false">
      <c r="A53" s="12" t="s">
        <v>196</v>
      </c>
      <c r="B53" s="38" t="n">
        <f aca="false">Inputs!$C$35</f>
        <v>0</v>
      </c>
      <c r="C53" s="3" t="s">
        <v>106</v>
      </c>
    </row>
    <row r="54" customFormat="false" ht="15" hidden="false" customHeight="false" outlineLevel="0" collapsed="false">
      <c r="A54" s="12" t="s">
        <v>197</v>
      </c>
      <c r="B54" s="35" t="n">
        <f aca="false">SUM(B51:E51)</f>
        <v>6679.78217095004</v>
      </c>
      <c r="C54" s="3"/>
    </row>
    <row r="55" customFormat="false" ht="15" hidden="false" customHeight="false" outlineLevel="0" collapsed="false">
      <c r="A55" s="12" t="s">
        <v>198</v>
      </c>
      <c r="B55" s="35" t="n">
        <f aca="false">E49*(1+Valuation!$B$53)/(Valuation!$B$20-Valuation!$B$53)</f>
        <v>23727.2617506192</v>
      </c>
      <c r="C55" s="3" t="s">
        <v>199</v>
      </c>
    </row>
    <row r="56" customFormat="false" ht="15" hidden="false" customHeight="false" outlineLevel="0" collapsed="false">
      <c r="A56" s="12" t="s">
        <v>200</v>
      </c>
      <c r="B56" s="37" t="n">
        <f aca="false">Valuation!$B$55*E50</f>
        <v>17417.6961544957</v>
      </c>
      <c r="C56" s="3"/>
    </row>
    <row r="57" customFormat="false" ht="15" hidden="false" customHeight="false" outlineLevel="0" collapsed="false">
      <c r="A57" s="12" t="s">
        <v>201</v>
      </c>
      <c r="B57" s="37" t="n">
        <f aca="false">Valuation!$B$54+Valuation!$B$56</f>
        <v>24097.4783254457</v>
      </c>
      <c r="C57" s="3"/>
    </row>
    <row r="58" customFormat="false" ht="15" hidden="false" customHeight="false" outlineLevel="0" collapsed="false">
      <c r="A58" s="12" t="s">
        <v>202</v>
      </c>
      <c r="B58" s="36" t="n">
        <f aca="false">Model!$F$23</f>
        <v>1314.4228452343</v>
      </c>
      <c r="C58" s="3" t="s">
        <v>203</v>
      </c>
    </row>
    <row r="59" customFormat="false" ht="15" hidden="false" customHeight="false" outlineLevel="0" collapsed="false">
      <c r="A59" s="12" t="s">
        <v>204</v>
      </c>
      <c r="B59" s="36" t="n">
        <f aca="false">Inputs!$C$36</f>
        <v>0</v>
      </c>
      <c r="C59" s="3"/>
    </row>
    <row r="60" customFormat="false" ht="15" hidden="false" customHeight="false" outlineLevel="0" collapsed="false">
      <c r="A60" s="12" t="s">
        <v>205</v>
      </c>
      <c r="B60" s="41" t="n">
        <f aca="false">(Valuation!$B$57-Valuation!$B$58+Valuation!$B$59)/Valuation!$B$7</f>
        <v>18.7406888872349</v>
      </c>
      <c r="C60" s="3" t="s">
        <v>206</v>
      </c>
    </row>
    <row r="61" customFormat="false" ht="15" hidden="false" customHeight="false" outlineLevel="0" collapsed="false">
      <c r="A61" s="12" t="s">
        <v>207</v>
      </c>
      <c r="B61" s="39" t="n">
        <f aca="false">Valuation!$B$60/Valuation!$B$6-1</f>
        <v>-0.0826877686130757</v>
      </c>
      <c r="C61" s="3"/>
    </row>
    <row r="62" customFormat="false" ht="15" hidden="false" customHeight="false" outlineLevel="0" collapsed="false">
      <c r="A62" s="12" t="s">
        <v>208</v>
      </c>
      <c r="B62" s="39" t="n">
        <f aca="false">Valuation!$B$56/Valuation!$B$57</f>
        <v>0.722801610992776</v>
      </c>
      <c r="C62" s="3" t="s">
        <v>209</v>
      </c>
    </row>
    <row r="64" customFormat="false" ht="15" hidden="false" customHeight="false" outlineLevel="0" collapsed="false">
      <c r="A64" s="14" t="s">
        <v>210</v>
      </c>
      <c r="B64" s="15"/>
      <c r="C64" s="15"/>
    </row>
    <row r="65" customFormat="false" ht="15" hidden="false" customHeight="false" outlineLevel="0" collapsed="false">
      <c r="A65" s="12" t="s">
        <v>211</v>
      </c>
      <c r="B65" s="34" t="n">
        <f aca="false">Model!$G$14</f>
        <v>3.64772120036751</v>
      </c>
      <c r="C65" s="3" t="s">
        <v>212</v>
      </c>
    </row>
    <row r="66" customFormat="false" ht="15" hidden="false" customHeight="false" outlineLevel="0" collapsed="false">
      <c r="A66" s="12" t="s">
        <v>213</v>
      </c>
      <c r="B66" s="39" t="n">
        <f aca="false">Valuation!$B$16-Valuation!$B$65/Valuation!$B$6</f>
        <v>-0.0943472932142686</v>
      </c>
      <c r="C66" s="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3" t="s">
        <v>215</v>
      </c>
    </row>
    <row r="2" customFormat="false" ht="15" hidden="false" customHeight="false" outlineLevel="0" collapsed="false">
      <c r="A2" s="3" t="s">
        <v>216</v>
      </c>
    </row>
    <row r="4" customFormat="false" ht="15" hidden="false" customHeight="false" outlineLevel="0" collapsed="false">
      <c r="A4" s="14" t="s">
        <v>217</v>
      </c>
      <c r="B4" s="15"/>
      <c r="C4" s="15"/>
      <c r="D4" s="15"/>
      <c r="E4" s="15"/>
      <c r="F4" s="15"/>
      <c r="G4" s="15"/>
      <c r="H4" s="15"/>
    </row>
    <row r="5" customFormat="false" ht="15" hidden="false" customHeight="false" outlineLevel="0" collapsed="false">
      <c r="A5" s="3" t="s">
        <v>218</v>
      </c>
      <c r="B5" s="50" t="n">
        <v>0.07</v>
      </c>
      <c r="C5" s="50" t="n">
        <v>0.075</v>
      </c>
      <c r="D5" s="50" t="n">
        <v>0.08</v>
      </c>
      <c r="E5" s="50" t="n">
        <v>0.09</v>
      </c>
      <c r="F5" s="50" t="n">
        <v>0.1</v>
      </c>
    </row>
    <row r="6" customFormat="false" ht="15" hidden="false" customHeight="false" outlineLevel="0" collapsed="false">
      <c r="A6" s="51" t="n">
        <v>5.5</v>
      </c>
      <c r="B6" s="52" t="n">
        <f aca="false">(Inputs!$C$29*($A6*Valuation!$B$23-Valuation!$B$25)/Valuation!$B$7+(1-Inputs!$C$29)*Valuation!$B$27/B$5/Valuation!$B$7)/Inputs!$C$22</f>
        <v>23.456038904604</v>
      </c>
      <c r="C6" s="52" t="n">
        <f aca="false">(Inputs!$C$29*($A6*Valuation!$B$23-Valuation!$B$25)/Valuation!$B$7+(1-Inputs!$C$29)*Valuation!$B$27/C$5/Valuation!$B$7)/Inputs!$C$22</f>
        <v>22.5416001672562</v>
      </c>
      <c r="D6" s="52" t="n">
        <f aca="false">(Inputs!$C$29*($A6*Valuation!$B$23-Valuation!$B$25)/Valuation!$B$7+(1-Inputs!$C$29)*Valuation!$B$27/D$5/Valuation!$B$7)/Inputs!$C$22</f>
        <v>21.7414662720769</v>
      </c>
      <c r="E6" s="52" t="n">
        <f aca="false">(Inputs!$C$29*($A6*Valuation!$B$23-Valuation!$B$25)/Valuation!$B$7+(1-Inputs!$C$29)*Valuation!$B$27/E$5/Valuation!$B$7)/Inputs!$C$22</f>
        <v>20.4079097801113</v>
      </c>
      <c r="F6" s="52" t="n">
        <f aca="false">(Inputs!$C$29*($A6*Valuation!$B$23-Valuation!$B$25)/Valuation!$B$7+(1-Inputs!$C$29)*Valuation!$B$27/F$5/Valuation!$B$7)/Inputs!$C$22</f>
        <v>19.3410645865389</v>
      </c>
    </row>
    <row r="7" customFormat="false" ht="15" hidden="false" customHeight="false" outlineLevel="0" collapsed="false">
      <c r="A7" s="51" t="n">
        <v>6</v>
      </c>
      <c r="B7" s="52" t="n">
        <f aca="false">(Inputs!$C$29*($A7*Valuation!$B$23-Valuation!$B$25)/Valuation!$B$7+(1-Inputs!$C$29)*Valuation!$B$27/B$5/Valuation!$B$7)/Inputs!$C$22</f>
        <v>24.3905899170426</v>
      </c>
      <c r="C7" s="52" t="n">
        <f aca="false">(Inputs!$C$29*($A7*Valuation!$B$23-Valuation!$B$25)/Valuation!$B$7+(1-Inputs!$C$29)*Valuation!$B$27/C$5/Valuation!$B$7)/Inputs!$C$22</f>
        <v>23.4761511796949</v>
      </c>
      <c r="D7" s="52" t="n">
        <f aca="false">(Inputs!$C$29*($A7*Valuation!$B$23-Valuation!$B$25)/Valuation!$B$7+(1-Inputs!$C$29)*Valuation!$B$27/D$5/Valuation!$B$7)/Inputs!$C$22</f>
        <v>22.6760172845155</v>
      </c>
      <c r="E7" s="52" t="n">
        <f aca="false">(Inputs!$C$29*($A7*Valuation!$B$23-Valuation!$B$25)/Valuation!$B$7+(1-Inputs!$C$29)*Valuation!$B$27/E$5/Valuation!$B$7)/Inputs!$C$22</f>
        <v>21.34246079255</v>
      </c>
      <c r="F7" s="52" t="n">
        <f aca="false">(Inputs!$C$29*($A7*Valuation!$B$23-Valuation!$B$25)/Valuation!$B$7+(1-Inputs!$C$29)*Valuation!$B$27/F$5/Valuation!$B$7)/Inputs!$C$22</f>
        <v>20.2756155989776</v>
      </c>
    </row>
    <row r="8" customFormat="false" ht="15" hidden="false" customHeight="false" outlineLevel="0" collapsed="false">
      <c r="A8" s="51" t="n">
        <v>6.5</v>
      </c>
      <c r="B8" s="52" t="n">
        <f aca="false">(Inputs!$C$29*($A8*Valuation!$B$23-Valuation!$B$25)/Valuation!$B$7+(1-Inputs!$C$29)*Valuation!$B$27/B$5/Valuation!$B$7)/Inputs!$C$22</f>
        <v>25.3251409294813</v>
      </c>
      <c r="C8" s="52" t="n">
        <f aca="false">(Inputs!$C$29*($A8*Valuation!$B$23-Valuation!$B$25)/Valuation!$B$7+(1-Inputs!$C$29)*Valuation!$B$27/C$5/Valuation!$B$7)/Inputs!$C$22</f>
        <v>24.4107021921335</v>
      </c>
      <c r="D8" s="52" t="n">
        <f aca="false">(Inputs!$C$29*($A8*Valuation!$B$23-Valuation!$B$25)/Valuation!$B$7+(1-Inputs!$C$29)*Valuation!$B$27/D$5/Valuation!$B$7)/Inputs!$C$22</f>
        <v>23.6105682969542</v>
      </c>
      <c r="E8" s="52" t="n">
        <f aca="false">(Inputs!$C$29*($A8*Valuation!$B$23-Valuation!$B$25)/Valuation!$B$7+(1-Inputs!$C$29)*Valuation!$B$27/E$5/Valuation!$B$7)/Inputs!$C$22</f>
        <v>22.2770118049887</v>
      </c>
      <c r="F8" s="52" t="n">
        <f aca="false">(Inputs!$C$29*($A8*Valuation!$B$23-Valuation!$B$25)/Valuation!$B$7+(1-Inputs!$C$29)*Valuation!$B$27/F$5/Valuation!$B$7)/Inputs!$C$22</f>
        <v>21.2101666114163</v>
      </c>
    </row>
    <row r="9" customFormat="false" ht="15" hidden="false" customHeight="false" outlineLevel="0" collapsed="false">
      <c r="A9" s="51" t="n">
        <v>7</v>
      </c>
      <c r="B9" s="52" t="n">
        <f aca="false">(Inputs!$C$29*($A9*Valuation!$B$23-Valuation!$B$25)/Valuation!$B$7+(1-Inputs!$C$29)*Valuation!$B$27/B$5/Valuation!$B$7)/Inputs!$C$22</f>
        <v>26.25969194192</v>
      </c>
      <c r="C9" s="52" t="n">
        <f aca="false">(Inputs!$C$29*($A9*Valuation!$B$23-Valuation!$B$25)/Valuation!$B$7+(1-Inputs!$C$29)*Valuation!$B$27/C$5/Valuation!$B$7)/Inputs!$C$22</f>
        <v>25.3452532045722</v>
      </c>
      <c r="D9" s="52" t="n">
        <f aca="false">(Inputs!$C$29*($A9*Valuation!$B$23-Valuation!$B$25)/Valuation!$B$7+(1-Inputs!$C$29)*Valuation!$B$27/D$5/Valuation!$B$7)/Inputs!$C$22</f>
        <v>24.5451193093929</v>
      </c>
      <c r="E9" s="52" t="n">
        <f aca="false">(Inputs!$C$29*($A9*Valuation!$B$23-Valuation!$B$25)/Valuation!$B$7+(1-Inputs!$C$29)*Valuation!$B$27/E$5/Valuation!$B$7)/Inputs!$C$22</f>
        <v>23.2115628174274</v>
      </c>
      <c r="F9" s="52" t="n">
        <f aca="false">(Inputs!$C$29*($A9*Valuation!$B$23-Valuation!$B$25)/Valuation!$B$7+(1-Inputs!$C$29)*Valuation!$B$27/F$5/Valuation!$B$7)/Inputs!$C$22</f>
        <v>22.1447176238549</v>
      </c>
    </row>
    <row r="10" customFormat="false" ht="15" hidden="false" customHeight="false" outlineLevel="0" collapsed="false">
      <c r="A10" s="51" t="n">
        <v>7.5</v>
      </c>
      <c r="B10" s="52" t="n">
        <f aca="false">(Inputs!$C$29*($A10*Valuation!$B$23-Valuation!$B$25)/Valuation!$B$7+(1-Inputs!$C$29)*Valuation!$B$27/B$5/Valuation!$B$7)/Inputs!$C$22</f>
        <v>27.1942429543587</v>
      </c>
      <c r="C10" s="52" t="n">
        <f aca="false">(Inputs!$C$29*($A10*Valuation!$B$23-Valuation!$B$25)/Valuation!$B$7+(1-Inputs!$C$29)*Valuation!$B$27/C$5/Valuation!$B$7)/Inputs!$C$22</f>
        <v>26.2798042170109</v>
      </c>
      <c r="D10" s="52" t="n">
        <f aca="false">(Inputs!$C$29*($A10*Valuation!$B$23-Valuation!$B$25)/Valuation!$B$7+(1-Inputs!$C$29)*Valuation!$B$27/D$5/Valuation!$B$7)/Inputs!$C$22</f>
        <v>25.4796703218316</v>
      </c>
      <c r="E10" s="52" t="n">
        <f aca="false">(Inputs!$C$29*($A10*Valuation!$B$23-Valuation!$B$25)/Valuation!$B$7+(1-Inputs!$C$29)*Valuation!$B$27/E$5/Valuation!$B$7)/Inputs!$C$22</f>
        <v>24.146113829866</v>
      </c>
      <c r="F10" s="52" t="n">
        <f aca="false">(Inputs!$C$29*($A10*Valuation!$B$23-Valuation!$B$25)/Valuation!$B$7+(1-Inputs!$C$29)*Valuation!$B$27/F$5/Valuation!$B$7)/Inputs!$C$22</f>
        <v>23.0792686362936</v>
      </c>
    </row>
    <row r="13" customFormat="false" ht="15" hidden="false" customHeight="false" outlineLevel="0" collapsed="false">
      <c r="A13" s="14" t="s">
        <v>219</v>
      </c>
      <c r="B13" s="15"/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B14" s="50" t="n">
        <v>0</v>
      </c>
      <c r="C14" s="50" t="n">
        <v>0.01</v>
      </c>
      <c r="D14" s="50" t="n">
        <v>0.02</v>
      </c>
      <c r="E14" s="50" t="n">
        <v>0.03</v>
      </c>
    </row>
    <row r="15" customFormat="false" ht="15" hidden="false" customHeight="false" outlineLevel="0" collapsed="false">
      <c r="A15" s="50" t="n">
        <v>0.06</v>
      </c>
      <c r="B15" s="52" t="n">
        <f aca="false">(Valuation!B49/(1+$A15)^1+Valuation!C49/(1+$A15)^2+Valuation!D49/(1+$A15)^3+Valuation!E49/(1+$A15)^4+Valuation!E49*(1+B$14)/($A15-B$14)/(1+$A15)^4-Valuation!$B$58+Valuation!$B$59)/Valuation!$B$7</f>
        <v>25.362444656019</v>
      </c>
      <c r="C15" s="52" t="n">
        <f aca="false">(Valuation!B49/(1+$A15)^1+Valuation!C49/(1+$A15)^2+Valuation!D49/(1+$A15)^3+Valuation!E49/(1+$A15)^4+Valuation!E49*(1+C$14)/($A15-C$14)/(1+$A15)^4-Valuation!$B$58+Valuation!$B$59)/Valuation!$B$7</f>
        <v>29.751437714846</v>
      </c>
      <c r="D15" s="52" t="n">
        <f aca="false">(Valuation!B49/(1+$A15)^1+Valuation!C49/(1+$A15)^2+Valuation!D49/(1+$A15)^3+Valuation!E49/(1+$A15)^4+Valuation!E49*(1+D$14)/($A15-D$14)/(1+$A15)^4-Valuation!$B$58+Valuation!$B$59)/Valuation!$B$7</f>
        <v>36.3349273030864</v>
      </c>
      <c r="E15" s="52" t="n">
        <f aca="false">(Valuation!B49/(1+$A15)^1+Valuation!C49/(1+$A15)^2+Valuation!D49/(1+$A15)^3+Valuation!E49/(1+$A15)^4+Valuation!E49*(1+E$14)/($A15-E$14)/(1+$A15)^4-Valuation!$B$58+Valuation!$B$59)/Valuation!$B$7</f>
        <v>47.3074099501538</v>
      </c>
    </row>
    <row r="16" customFormat="false" ht="15" hidden="false" customHeight="false" outlineLevel="0" collapsed="false">
      <c r="A16" s="50" t="n">
        <v>0.07</v>
      </c>
      <c r="B16" s="52" t="n">
        <f aca="false">(Valuation!B49/(1+$A16)^1+Valuation!C49/(1+$A16)^2+Valuation!D49/(1+$A16)^3+Valuation!E49/(1+$A16)^4+Valuation!E49*(1+B$14)/($A16-B$14)/(1+$A16)^4-Valuation!$B$58+Valuation!$B$59)/Valuation!$B$7</f>
        <v>21.6274893101873</v>
      </c>
      <c r="C16" s="52" t="n">
        <f aca="false">(Valuation!B49/(1+$A16)^1+Valuation!C49/(1+$A16)^2+Valuation!D49/(1+$A16)^3+Valuation!E49/(1+$A16)^4+Valuation!E49*(1+C$14)/($A16-C$14)/(1+$A16)^4-Valuation!$B$58+Valuation!$B$59)/Valuation!$B$7</f>
        <v>24.6754062036887</v>
      </c>
      <c r="D16" s="52" t="n">
        <f aca="false">(Valuation!B49/(1+$A16)^1+Valuation!C49/(1+$A16)^2+Valuation!D49/(1+$A16)^3+Valuation!E49/(1+$A16)^4+Valuation!E49*(1+D$14)/($A16-D$14)/(1+$A16)^4-Valuation!$B$58+Valuation!$B$59)/Valuation!$B$7</f>
        <v>28.9424898545906</v>
      </c>
      <c r="E16" s="52" t="n">
        <f aca="false">(Valuation!B49/(1+$A16)^1+Valuation!C49/(1+$A16)^2+Valuation!D49/(1+$A16)^3+Valuation!E49/(1+$A16)^4+Valuation!E49*(1+E$14)/($A16-E$14)/(1+$A16)^4-Valuation!$B$58+Valuation!$B$59)/Valuation!$B$7</f>
        <v>35.3431153309435</v>
      </c>
    </row>
    <row r="17" customFormat="false" ht="15" hidden="false" customHeight="false" outlineLevel="0" collapsed="false">
      <c r="A17" s="50" t="n">
        <v>0.08</v>
      </c>
      <c r="B17" s="52" t="n">
        <f aca="false">(Valuation!B49/(1+$A17)^1+Valuation!C49/(1+$A17)^2+Valuation!D49/(1+$A17)^3+Valuation!E49/(1+$A17)^4+Valuation!E49*(1+B$14)/($A17-B$14)/(1+$A17)^4-Valuation!$B$58+Valuation!$B$59)/Valuation!$B$7</f>
        <v>18.8259671492849</v>
      </c>
      <c r="C17" s="52" t="n">
        <f aca="false">(Valuation!B49/(1+$A17)^1+Valuation!C49/(1+$A17)^2+Valuation!D49/(1+$A17)^3+Valuation!E49/(1+$A17)^4+Valuation!E49*(1+C$14)/($A17-C$14)/(1+$A17)^4-Valuation!$B$58+Valuation!$B$59)/Valuation!$B$7</f>
        <v>21.0489926830769</v>
      </c>
      <c r="D17" s="52" t="n">
        <f aca="false">(Valuation!B49/(1+$A17)^1+Valuation!C49/(1+$A17)^2+Valuation!D49/(1+$A17)^3+Valuation!E49/(1+$A17)^4+Valuation!E49*(1+D$14)/($A17-D$14)/(1+$A17)^4-Valuation!$B$58+Valuation!$B$59)/Valuation!$B$7</f>
        <v>24.0130267281329</v>
      </c>
      <c r="E17" s="52" t="n">
        <f aca="false">(Valuation!B49/(1+$A17)^1+Valuation!C49/(1+$A17)^2+Valuation!D49/(1+$A17)^3+Valuation!E49/(1+$A17)^4+Valuation!E49*(1+E$14)/($A17-E$14)/(1+$A17)^4-Valuation!$B$58+Valuation!$B$59)/Valuation!$B$7</f>
        <v>28.1626743912114</v>
      </c>
    </row>
    <row r="18" customFormat="false" ht="15" hidden="false" customHeight="false" outlineLevel="0" collapsed="false">
      <c r="A18" s="50" t="n">
        <v>0.09</v>
      </c>
      <c r="B18" s="52" t="n">
        <f aca="false">(Valuation!B49/(1+$A18)^1+Valuation!C49/(1+$A18)^2+Valuation!D49/(1+$A18)^3+Valuation!E49/(1+$A18)^4+Valuation!E49*(1+B$14)/($A18-B$14)/(1+$A18)^4-Valuation!$B$58+Valuation!$B$59)/Valuation!$B$7</f>
        <v>16.6467279782154</v>
      </c>
      <c r="C18" s="52" t="n">
        <f aca="false">(Valuation!B49/(1+$A18)^1+Valuation!C49/(1+$A18)^2+Valuation!D49/(1+$A18)^3+Valuation!E49/(1+$A18)^4+Valuation!E49*(1+C$14)/($A18-C$14)/(1+$A18)^4-Valuation!$B$58+Valuation!$B$59)/Valuation!$B$7</f>
        <v>18.3285953845797</v>
      </c>
      <c r="D18" s="52" t="n">
        <f aca="false">(Valuation!B49/(1+$A18)^1+Valuation!C49/(1+$A18)^2+Valuation!D49/(1+$A18)^3+Valuation!E49/(1+$A18)^4+Valuation!E49*(1+D$14)/($A18-D$14)/(1+$A18)^4-Valuation!$B$58+Valuation!$B$59)/Valuation!$B$7</f>
        <v>20.4909963356196</v>
      </c>
      <c r="E18" s="52" t="n">
        <f aca="false">(Valuation!B49/(1+$A18)^1+Valuation!C49/(1+$A18)^2+Valuation!D49/(1+$A18)^3+Valuation!E49/(1+$A18)^4+Valuation!E49*(1+E$14)/($A18-E$14)/(1+$A18)^4-Valuation!$B$58+Valuation!$B$59)/Valuation!$B$7</f>
        <v>23.3741976036728</v>
      </c>
    </row>
    <row r="19" customFormat="false" ht="15" hidden="false" customHeight="false" outlineLevel="0" collapsed="false">
      <c r="A19" s="50" t="n">
        <v>0.1</v>
      </c>
      <c r="B19" s="52" t="n">
        <f aca="false">(Valuation!B49/(1+$A19)^1+Valuation!C49/(1+$A19)^2+Valuation!D49/(1+$A19)^3+Valuation!E49/(1+$A19)^4+Valuation!E49*(1+B$14)/($A19-B$14)/(1+$A19)^4-Valuation!$B$58+Valuation!$B$59)/Valuation!$B$7</f>
        <v>14.9030824260353</v>
      </c>
      <c r="C19" s="52" t="n">
        <f aca="false">(Valuation!B49/(1+$A19)^1+Valuation!C49/(1+$A19)^2+Valuation!D49/(1+$A19)^3+Valuation!E49/(1+$A19)^4+Valuation!E49*(1+C$14)/($A19-C$14)/(1+$A19)^4-Valuation!$B$58+Valuation!$B$59)/Valuation!$B$7</f>
        <v>16.2122136449063</v>
      </c>
      <c r="D19" s="52" t="n">
        <f aca="false">(Valuation!B49/(1+$A19)^1+Valuation!C49/(1+$A19)^2+Valuation!D49/(1+$A19)^3+Valuation!E49/(1+$A19)^4+Valuation!E49*(1+D$14)/($A19-D$14)/(1+$A19)^4-Valuation!$B$58+Valuation!$B$59)/Valuation!$B$7</f>
        <v>17.848627668495</v>
      </c>
      <c r="E19" s="52" t="n">
        <f aca="false">(Valuation!B49/(1+$A19)^1+Valuation!C49/(1+$A19)^2+Valuation!D49/(1+$A19)^3+Valuation!E49/(1+$A19)^4+Valuation!E49*(1+E$14)/($A19-E$14)/(1+$A19)^4-Valuation!$B$58+Valuation!$B$59)/Valuation!$B$7</f>
        <v>19.9525885559663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3" t="s">
        <v>220</v>
      </c>
    </row>
    <row r="2" customFormat="false" ht="15" hidden="false" customHeight="false" outlineLevel="0" collapsed="false">
      <c r="A2" s="3" t="s">
        <v>221</v>
      </c>
    </row>
    <row r="4" customFormat="false" ht="15" hidden="false" customHeight="false" outlineLevel="0" collapsed="false">
      <c r="A4" s="16" t="s">
        <v>222</v>
      </c>
      <c r="B4" s="17" t="s">
        <v>41</v>
      </c>
      <c r="C4" s="17" t="s">
        <v>42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 t="s">
        <v>48</v>
      </c>
      <c r="J4" s="17" t="s">
        <v>49</v>
      </c>
      <c r="K4" s="17" t="s">
        <v>223</v>
      </c>
    </row>
    <row r="5" customFormat="false" ht="15" hidden="false" customHeight="false" outlineLevel="0" collapsed="false">
      <c r="A5" s="12" t="s">
        <v>224</v>
      </c>
      <c r="B5" s="12"/>
      <c r="D5" s="53" t="n">
        <f aca="false">IFERROR(Model!D15/Model!D12,"")</f>
        <v>0.46489348291945</v>
      </c>
      <c r="E5" s="53" t="n">
        <f aca="false">IFERROR(Model!E15/Model!E12,"")</f>
        <v>0.376439991688314</v>
      </c>
      <c r="F5" s="53" t="n">
        <f aca="false">IFERROR(Model!F15/Model!F12,"")</f>
        <v>0.418379656193993</v>
      </c>
      <c r="G5" s="53" t="n">
        <f aca="false">IFERROR(Model!G15/Model!G12,"")</f>
        <v>0.47355588792343</v>
      </c>
      <c r="H5" s="53" t="n">
        <f aca="false">IFERROR(Model!H15/Model!H12,"")</f>
        <v>0.545170205446998</v>
      </c>
      <c r="I5" s="53" t="n">
        <f aca="false">IFERROR(Model!I15/Model!I12,"")</f>
        <v>0.555067830509472</v>
      </c>
      <c r="J5" s="53" t="n">
        <f aca="false">IFERROR(Model!J15/Model!J12,"")</f>
        <v>0.538949244050796</v>
      </c>
      <c r="K5" s="3"/>
    </row>
    <row r="6" customFormat="false" ht="15" hidden="false" customHeight="false" outlineLevel="0" collapsed="false">
      <c r="A6" s="12" t="s">
        <v>225</v>
      </c>
      <c r="B6" s="12"/>
      <c r="F6" s="53" t="n">
        <f aca="false">IFERROR(Model!F20*Model!F13/Model!F16,"")</f>
        <v>0.301825741713079</v>
      </c>
      <c r="G6" s="53" t="n">
        <f aca="false">IFERROR(Model!G20*Model!G13/Model!G16,"")</f>
        <v>0.379936410432747</v>
      </c>
      <c r="H6" s="53" t="n">
        <f aca="false">IFERROR(Model!H20*Model!H13/Model!H16,"")</f>
        <v>0.506261794045103</v>
      </c>
      <c r="I6" s="53" t="n">
        <f aca="false">IFERROR(Model!I20*Model!I13/Model!I16,"")</f>
        <v>0.526919411549098</v>
      </c>
      <c r="J6" s="53" t="n">
        <f aca="false">IFERROR(Model!J20*Model!J13/Model!J16,"")</f>
        <v>0.493731772755018</v>
      </c>
      <c r="K6" s="3"/>
    </row>
    <row r="7" customFormat="false" ht="15" hidden="false" customHeight="false" outlineLevel="0" collapsed="false">
      <c r="A7" s="12" t="s">
        <v>226</v>
      </c>
      <c r="B7" s="12"/>
      <c r="F7" s="54" t="n">
        <f aca="false">IFERROR(Model!F23/Model!F12,"")</f>
        <v>0.261870370515551</v>
      </c>
      <c r="G7" s="54" t="n">
        <f aca="false">IFERROR(Model!G23/Model!G12,"")</f>
        <v>-0.0300227888970422</v>
      </c>
      <c r="H7" s="54" t="n">
        <f aca="false">IFERROR(Model!H23/Model!H12,"")</f>
        <v>-0.259129884443093</v>
      </c>
      <c r="I7" s="54" t="n">
        <f aca="false">IFERROR(Model!I23/Model!I12,"")</f>
        <v>-0.474323188569349</v>
      </c>
      <c r="J7" s="54" t="n">
        <f aca="false">IFERROR(Model!J23/Model!J12,"")</f>
        <v>-0.693964690539736</v>
      </c>
      <c r="K7" s="3"/>
    </row>
    <row r="8" customFormat="false" ht="15" hidden="false" customHeight="false" outlineLevel="0" collapsed="false">
      <c r="A8" s="12" t="s">
        <v>227</v>
      </c>
      <c r="B8" s="12"/>
      <c r="G8" s="53" t="n">
        <f aca="false">IFERROR(Model!G14/Model!F14-1,"")</f>
        <v>-0.116514720092254</v>
      </c>
      <c r="H8" s="53" t="n">
        <f aca="false">IFERROR(Model!H14/Model!G14-1,"")</f>
        <v>-0.131361392842166</v>
      </c>
      <c r="I8" s="53" t="n">
        <f aca="false">IFERROR(Model!I14/Model!H14-1,"")</f>
        <v>-0.0178313793710393</v>
      </c>
      <c r="J8" s="53" t="n">
        <f aca="false">IFERROR(Model!J14/Model!I14-1,"")</f>
        <v>0.0299074293852364</v>
      </c>
      <c r="K8" s="3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8" min="3" style="0" width="12"/>
  </cols>
  <sheetData>
    <row r="1" customFormat="false" ht="17.35" hidden="false" customHeight="false" outlineLevel="0" collapsed="false">
      <c r="A1" s="13" t="s">
        <v>229</v>
      </c>
    </row>
    <row r="2" customFormat="false" ht="15" hidden="false" customHeight="false" outlineLevel="0" collapsed="false">
      <c r="A2" s="3" t="s">
        <v>230</v>
      </c>
    </row>
    <row r="4" customFormat="false" ht="26.85" hidden="false" customHeight="false" outlineLevel="0" collapsed="false">
      <c r="A4" s="16" t="s">
        <v>231</v>
      </c>
      <c r="B4" s="17" t="s">
        <v>232</v>
      </c>
      <c r="C4" s="17" t="s">
        <v>233</v>
      </c>
      <c r="D4" s="17" t="s">
        <v>234</v>
      </c>
      <c r="E4" s="17" t="s">
        <v>235</v>
      </c>
      <c r="F4" s="17" t="s">
        <v>236</v>
      </c>
      <c r="G4" s="17" t="s">
        <v>237</v>
      </c>
      <c r="H4" s="17" t="s">
        <v>238</v>
      </c>
    </row>
    <row r="5" customFormat="false" ht="15" hidden="false" customHeight="false" outlineLevel="0" collapsed="false">
      <c r="A5" s="55" t="s">
        <v>239</v>
      </c>
      <c r="B5" s="55" t="s">
        <v>240</v>
      </c>
      <c r="C5" s="56" t="n">
        <v>20.43</v>
      </c>
      <c r="D5" s="56" t="n">
        <v>24.8</v>
      </c>
      <c r="E5" s="55" t="s">
        <v>241</v>
      </c>
      <c r="F5" s="55" t="s">
        <v>242</v>
      </c>
      <c r="G5" s="55" t="s">
        <v>243</v>
      </c>
      <c r="H5" s="55" t="s">
        <v>244</v>
      </c>
    </row>
    <row r="6" customFormat="false" ht="15" hidden="false" customHeight="false" outlineLevel="0" collapsed="false">
      <c r="A6" s="57" t="s">
        <v>245</v>
      </c>
      <c r="B6" s="57" t="s">
        <v>246</v>
      </c>
      <c r="C6" s="58" t="n">
        <v>65.86</v>
      </c>
      <c r="D6" s="58" t="n">
        <v>25.7</v>
      </c>
      <c r="E6" s="57" t="s">
        <v>247</v>
      </c>
      <c r="F6" s="57" t="s">
        <v>248</v>
      </c>
      <c r="G6" s="57" t="s">
        <v>248</v>
      </c>
      <c r="H6" s="57" t="s">
        <v>244</v>
      </c>
    </row>
    <row r="7" customFormat="false" ht="15" hidden="false" customHeight="false" outlineLevel="0" collapsed="false">
      <c r="A7" s="57" t="s">
        <v>249</v>
      </c>
      <c r="B7" s="57" t="s">
        <v>250</v>
      </c>
      <c r="C7" s="58" t="n">
        <v>41.73</v>
      </c>
      <c r="D7" s="58" t="n">
        <v>8.9</v>
      </c>
      <c r="E7" s="57" t="s">
        <v>241</v>
      </c>
      <c r="F7" s="57" t="s">
        <v>251</v>
      </c>
      <c r="G7" s="57" t="s">
        <v>252</v>
      </c>
      <c r="H7" s="57" t="s">
        <v>253</v>
      </c>
    </row>
    <row r="9" customFormat="false" ht="15" hidden="false" customHeight="false" outlineLevel="0" collapsed="false">
      <c r="A9" s="3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3" t="s">
        <v>255</v>
      </c>
    </row>
    <row r="2" customFormat="false" ht="15" hidden="false" customHeight="false" outlineLevel="0" collapsed="false">
      <c r="A2" s="3" t="s">
        <v>256</v>
      </c>
    </row>
    <row r="4" customFormat="false" ht="15" hidden="false" customHeight="false" outlineLevel="0" collapsed="false">
      <c r="A4" s="16" t="s">
        <v>257</v>
      </c>
      <c r="B4" s="17" t="s">
        <v>21</v>
      </c>
      <c r="C4" s="17" t="s">
        <v>258</v>
      </c>
      <c r="D4" s="17" t="s">
        <v>259</v>
      </c>
    </row>
    <row r="5" customFormat="false" ht="15" hidden="false" customHeight="false" outlineLevel="0" collapsed="false">
      <c r="A5" s="12" t="s">
        <v>260</v>
      </c>
      <c r="B5" s="59" t="n">
        <f aca="false">Valuation!$B$39</f>
        <v>24</v>
      </c>
      <c r="C5" s="60" t="n">
        <v>24</v>
      </c>
      <c r="D5" s="61" t="b">
        <f aca="false">ABS(B5-C5)&lt;=MAX(0.01,ABS(C5)*0.005)</f>
        <v>1</v>
      </c>
    </row>
    <row r="6" customFormat="false" ht="15" hidden="false" customHeight="false" outlineLevel="0" collapsed="false">
      <c r="A6" s="12" t="s">
        <v>261</v>
      </c>
      <c r="B6" s="59" t="str">
        <f aca="false">Valuation!$B$44</f>
        <v>Buy</v>
      </c>
      <c r="C6" s="60" t="s">
        <v>262</v>
      </c>
      <c r="D6" s="61" t="b">
        <f aca="false">B6=C6</f>
        <v>1</v>
      </c>
    </row>
    <row r="7" customFormat="false" ht="15" hidden="false" customHeight="false" outlineLevel="0" collapsed="false">
      <c r="A7" s="12" t="s">
        <v>263</v>
      </c>
      <c r="B7" s="59" t="n">
        <f aca="false">Model!$G$14</f>
        <v>3.64772120036751</v>
      </c>
      <c r="C7" s="60" t="n">
        <v>3.65</v>
      </c>
      <c r="D7" s="61" t="b">
        <f aca="false">ABS(B7-C7)&lt;=MAX(0.01,ABS(C7)*0.005)</f>
        <v>1</v>
      </c>
    </row>
    <row r="8" customFormat="false" ht="15" hidden="false" customHeight="false" outlineLevel="0" collapsed="false">
      <c r="A8" s="12" t="s">
        <v>264</v>
      </c>
      <c r="B8" s="59" t="n">
        <f aca="false">Model!$G$16</f>
        <v>2334.53466328678</v>
      </c>
      <c r="C8" s="60" t="n">
        <v>2335</v>
      </c>
      <c r="D8" s="61" t="b">
        <f aca="false">ABS(B8-C8)&lt;=MAX(0.01,ABS(C8)*0.005)</f>
        <v>1</v>
      </c>
    </row>
    <row r="9" customFormat="false" ht="15" hidden="false" customHeight="false" outlineLevel="0" collapsed="false">
      <c r="A9" s="12" t="s">
        <v>265</v>
      </c>
      <c r="B9" s="59" t="n">
        <f aca="false">Model!$F$23</f>
        <v>1314.4228452343</v>
      </c>
      <c r="C9" s="60" t="n">
        <v>1313</v>
      </c>
      <c r="D9" s="61" t="b">
        <f aca="false">ABS(B9-C9)&lt;=MAX(0.01,ABS(C9)*0.005)</f>
        <v>1</v>
      </c>
    </row>
    <row r="10" customFormat="false" ht="15" hidden="false" customHeight="false" outlineLevel="0" collapsed="false">
      <c r="A10" s="12" t="s">
        <v>266</v>
      </c>
      <c r="B10" s="59" t="n">
        <f aca="false">Valuation!$B$33</f>
        <v>63.3504716505437</v>
      </c>
      <c r="C10" s="60" t="n">
        <v>63.4</v>
      </c>
      <c r="D10" s="61" t="b">
        <f aca="false">ABS(B10-C10)&lt;=MAX(0.01,ABS(C10)*0.005)</f>
        <v>1</v>
      </c>
    </row>
    <row r="12" customFormat="false" ht="15" hidden="false" customHeight="false" outlineLevel="0" collapsed="false">
      <c r="A12" s="4" t="s">
        <v>267</v>
      </c>
      <c r="D12" s="62" t="b">
        <f aca="false">AND(D5:D10)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3" t="s">
        <v>268</v>
      </c>
    </row>
    <row r="2" customFormat="false" ht="15" hidden="false" customHeight="false" outlineLevel="0" collapsed="false">
      <c r="A2" s="3" t="s">
        <v>269</v>
      </c>
    </row>
    <row r="4" customFormat="false" ht="15" hidden="false" customHeight="false" outlineLevel="0" collapsed="false">
      <c r="A4" s="16" t="s">
        <v>270</v>
      </c>
      <c r="B4" s="17" t="s">
        <v>271</v>
      </c>
      <c r="C4" s="17" t="s">
        <v>272</v>
      </c>
      <c r="D4" s="17" t="s">
        <v>273</v>
      </c>
    </row>
    <row r="5" customFormat="false" ht="15" hidden="false" customHeight="false" outlineLevel="0" collapsed="false">
      <c r="A5" s="8" t="s">
        <v>274</v>
      </c>
      <c r="B5" s="8" t="s">
        <v>275</v>
      </c>
      <c r="C5" s="8" t="s">
        <v>276</v>
      </c>
      <c r="D5" s="8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2026-10-27T21:00:01Z</dcterms:created>
  <dc:creator>openpyxl</dc:creator>
  <dc:description/>
  <dc:language>en-US</dc:language>
  <cp:lastModifiedBy/>
  <dcterms:modified xsi:type="dcterms:W3CDTF">2026-10-27T21:00:01Z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