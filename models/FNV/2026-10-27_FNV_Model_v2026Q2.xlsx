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Model" sheetId="3" state="visible" r:id="rId5"/>
    <sheet name="Valuation" sheetId="4" state="visible" r:id="rId6"/>
    <sheet name="NAV" sheetId="5" state="visible" r:id="rId7"/>
    <sheet name="Sensitivity" sheetId="6" state="visible" r:id="rId8"/>
    <sheet name="Ratios" sheetId="7" state="visible" r:id="rId9"/>
    <sheet name="Comps" sheetId="8" state="visible" r:id="rId10"/>
    <sheet name="Checks" sheetId="9" state="visible" r:id="rId11"/>
    <sheet name="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<sst xmlns="http://schemas.openxmlformats.org/spreadsheetml/2006/main" count="470" uniqueCount="343">
  <si>
    <t xml:space="preserve">NORTHWALL RESEARCH</t>
  </si>
  <si>
    <t xml:space="preserve">Franco-Nevada Corporation (FNV)</t>
  </si>
  <si>
    <t xml:space="preserve">Gold royalties and streaming · Analyst: Basel Al-Ghousein · Model version v2026Q2 · Built 2026-10-27</t>
  </si>
  <si>
    <t xml:space="preserve">Rating</t>
  </si>
  <si>
    <t xml:space="preserve">Price target (USD)</t>
  </si>
  <si>
    <t xml:space="preserve">Share price (USD), NYSE close Oct 26, 2026 (Upstox)</t>
  </si>
  <si>
    <t xml:space="preserve">Implied all-in return</t>
  </si>
  <si>
    <t xml:space="preserve">Valuation method 1</t>
  </si>
  <si>
    <t xml:space="preserve">Valuation method 2</t>
  </si>
  <si>
    <t xml:space="preserve">DCF cross-check per share</t>
  </si>
  <si>
    <t xml:space="preserve">Cost of equity (CAPM)</t>
  </si>
  <si>
    <t xml:space="preserve">Market-implied growth</t>
  </si>
  <si>
    <t xml:space="preserve">All integrity checks pass</t>
  </si>
  <si>
    <t xml:space="preserve">Colour code</t>
  </si>
  <si>
    <t xml:space="preserve">Blue: typed input with a source (Inputs sheet only)</t>
  </si>
  <si>
    <t xml:space="preserve">Black: formula</t>
  </si>
  <si>
    <t xml:space="preserve">Green: link to another sheet</t>
  </si>
  <si>
    <t xml:space="preserve">Yellow fill: key assumption or output</t>
  </si>
  <si>
    <t xml:space="preserve">Sheets</t>
  </si>
  <si>
    <t xml:space="preserve">Inputs</t>
  </si>
  <si>
    <t xml:space="preserve">Every typed number, with its source</t>
  </si>
  <si>
    <t xml:space="preserve">Model</t>
  </si>
  <si>
    <t xml:space="preserve">Operations and financials, H1 actual + H2 estimate</t>
  </si>
  <si>
    <t xml:space="preserve">Valuation</t>
  </si>
  <si>
    <t xml:space="preserve">Target methods, CAPM/WACC, DCF, reverse DCF, residual income, justified P/E</t>
  </si>
  <si>
    <t xml:space="preserve">NAV</t>
  </si>
  <si>
    <t xml:space="preserve">Asset-life cash flows (resource names)</t>
  </si>
  <si>
    <t xml:space="preserve">Sensitivity</t>
  </si>
  <si>
    <t xml:space="preserve">Target and DCF grids</t>
  </si>
  <si>
    <t xml:space="preserve">Ratios</t>
  </si>
  <si>
    <t xml:space="preserve">DuPont, cash conversion, leverage, payout</t>
  </si>
  <si>
    <t xml:space="preserve">Comps</t>
  </si>
  <si>
    <t xml:space="preserve">Peer table</t>
  </si>
  <si>
    <t xml:space="preserve">Checks</t>
  </si>
  <si>
    <t xml:space="preserve">Integrity checks; all must be TRUE</t>
  </si>
  <si>
    <t xml:space="preserve">Log</t>
  </si>
  <si>
    <t xml:space="preserve">Every change, dated, with its reason</t>
  </si>
  <si>
    <t xml:space="preserve">Franco-Nevada Corporation (FNV) — Inputs</t>
  </si>
  <si>
    <t xml:space="preserve">Every typed number in the model lives here, in blue, with its source. Change inputs here only.</t>
  </si>
  <si>
    <t xml:space="preserve">House price deck (from data/price_deck.yaml)</t>
  </si>
  <si>
    <t xml:space="preserve">Input</t>
  </si>
  <si>
    <t xml:space="preserve">Unit</t>
  </si>
  <si>
    <t xml:space="preserve">2025A</t>
  </si>
  <si>
    <t xml:space="preserve">H1-26A</t>
  </si>
  <si>
    <t xml:space="preserve">H2-26E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</si>
  <si>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</si>
  <si>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</si>
  <si>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</si>
  <si>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</si>
  <si>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</si>
  <si>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Source</t>
  </si>
  <si>
    <t xml:space="preserve">Gold price, house deck</t>
  </si>
  <si>
    <t xml:space="preserve">US$/oz</t>
  </si>
  <si>
    <t xml:space="preserve">Northwall deck: Q3-26 ~4,350 and Q4-26 4,050 (avg 4,200); spot ~US$4,000 on Oct 23, 2026 (pricegold.net); steps to a 3,500 long-term real price</t>
  </si>
  <si>
    <t xml:space="preserve">Company drivers by period</t>
  </si>
  <si>
    <t xml:space="preserve">GEOs sold</t>
  </si>
  <si>
    <t xml:space="preserve">koz</t>
  </si>
  <si>
    <t xml:space="preserve">2025A: 2025 results (Mar 10, 2026). H1-26A: Q2-26 release (Aug 11, 2026). H2-26E: Northwall, Q3 138k + Q4 145k incl. Cobre stockpile deliveries. 2027E+: Northwall, inside the 555-615k 2030 outlook</t>
  </si>
  <si>
    <t xml:space="preserve">Revenue, reported</t>
  </si>
  <si>
    <t xml:space="preserve">US$M</t>
  </si>
  <si>
    <t xml:space="preserve">2025 results; Q2-26 release income statement</t>
  </si>
  <si>
    <t xml:space="preserve">Costs of sales, reported</t>
  </si>
  <si>
    <t xml:space="preserve">G&amp;A + share-based comp, reported</t>
  </si>
  <si>
    <t xml:space="preserve">2025A G&amp;A only; H1-26A G&amp;A 17.0 + SBC 2.7 (Q2-26 release)</t>
  </si>
  <si>
    <t xml:space="preserve">Adjusted EBITDA, reported</t>
  </si>
  <si>
    <t xml:space="preserve">2025 results; Q2-26 release non-GAAP reconciliation</t>
  </si>
  <si>
    <t xml:space="preserve">Depletion and depreciation, reported</t>
  </si>
  <si>
    <t xml:space="preserve">2025 results; Q2-26 release</t>
  </si>
  <si>
    <t xml:space="preserve">Adjusted net income, reported</t>
  </si>
  <si>
    <t xml:space="preserve">2025 results; Q2-26 release (includes the US$63.8M buy-back gain, no longer excluded)</t>
  </si>
  <si>
    <t xml:space="preserve">Operating cash flow, reported</t>
  </si>
  <si>
    <t xml:space="preserve">2025 results; Q2-26 release cash flow statement</t>
  </si>
  <si>
    <t xml:space="preserve">Cash, reported</t>
  </si>
  <si>
    <t xml:space="preserve">Balance sheets Dec 31, 2025 and Jun 30, 2026</t>
  </si>
  <si>
    <t xml:space="preserve">Shareholders' equity, reported</t>
  </si>
  <si>
    <t xml:space="preserve">Depletion per GEO</t>
  </si>
  <si>
    <t xml:space="preserve">Northwall: Q2-26 run-rate US$634/GEO (84.0 / 132.4k), rising with new assets</t>
  </si>
  <si>
    <t xml:space="preserve">Finance income</t>
  </si>
  <si>
    <t xml:space="preserve">Northwall: H1-26 US$12.3M run-rate</t>
  </si>
  <si>
    <t xml:space="preserve">G&amp;A + share-based comp</t>
  </si>
  <si>
    <t xml:space="preserve">Northwall: US$42M a year growing 3%</t>
  </si>
  <si>
    <t xml:space="preserve">Acquisitions</t>
  </si>
  <si>
    <t xml:space="preserve">Northwall: H2 includes Comet Vale (US$8.4M); US$500M a year thereafter, no production credited</t>
  </si>
  <si>
    <t xml:space="preserve">Basic shares</t>
  </si>
  <si>
    <t xml:space="preserve">M</t>
  </si>
  <si>
    <t xml:space="preserve">Weighted basic shares per filings; DRIP issuance thereafter</t>
  </si>
  <si>
    <t xml:space="preserve">Dividend per share</t>
  </si>
  <si>
    <t xml:space="preserve">US$</t>
  </si>
  <si>
    <t xml:space="preserve">US$0.38 x 4 (2025); US$0.44 quarterly (2026); Northwall +US$0.16/yr</t>
  </si>
  <si>
    <t xml:space="preserve">Scalar inputs: market data, operating assumptions, valuation parameters</t>
  </si>
  <si>
    <t xml:space="preserve">Value</t>
  </si>
  <si>
    <t xml:space="preserve">Share price</t>
  </si>
  <si>
    <t xml:space="preserve">NYSE close Oct 26, 2026 (Upstox)</t>
  </si>
  <si>
    <t xml:space="preserve">Model currency per listing currency</t>
  </si>
  <si>
    <t xml:space="preserve">Same currency</t>
  </si>
  <si>
    <t xml:space="preserve">Basic shares outstanding</t>
  </si>
  <si>
    <t xml:space="preserve">Latest company filing</t>
  </si>
  <si>
    <t xml:space="preserve">Net debt at last balance sheet (negative = net cash)</t>
  </si>
  <si>
    <t xml:space="preserve">Latest quarterly filing</t>
  </si>
  <si>
    <t xml:space="preserve">Equity beta</t>
  </si>
  <si>
    <t xml:space="preserve">Beta 0.58 (Motley Fool, Oct 2026)</t>
  </si>
  <si>
    <t xml:space="preserve">Pre-tax cost of debt</t>
  </si>
  <si>
    <t xml:space="preserve">Northwall assumption: credit facility pricing</t>
  </si>
  <si>
    <t xml:space="preserve">Effective tax rate</t>
  </si>
  <si>
    <t xml:space="preserve">H1-26: 231.2 / 1,053.8 = 21.9%</t>
  </si>
  <si>
    <t xml:space="preserve">Gross debt</t>
  </si>
  <si>
    <t xml:space="preserve">Weight on valuation method 1</t>
  </si>
  <si>
    <t xml:space="preserve">Northwall method: equal weight</t>
  </si>
  <si>
    <t xml:space="preserve">Target multiple, method 1</t>
  </si>
  <si>
    <t xml:space="preserve">Northwall: premium for diversification and a debt-free balance sheet</t>
  </si>
  <si>
    <t xml:space="preserve">Target multiple, method 2</t>
  </si>
  <si>
    <t xml:space="preserve">Northwall: near trailing P/CF of ~25x (Morningstar)</t>
  </si>
  <si>
    <t xml:space="preserve">Next-12-month dividend per share</t>
  </si>
  <si>
    <t xml:space="preserve">US$0.44 quarterly (Q2-26 release)</t>
  </si>
  <si>
    <t xml:space="preserve">Target rounding increment</t>
  </si>
  <si>
    <t xml:space="preserve">House style</t>
  </si>
  <si>
    <t xml:space="preserve">Buy threshold: expected 12-month total return</t>
  </si>
  <si>
    <t xml:space="preserve">Northwall rating definitions</t>
  </si>
  <si>
    <t xml:space="preserve">Terminal growth for DCF cross-check (nominal)</t>
  </si>
  <si>
    <t xml:space="preserve">Northwall: 0% for depleting oil assets, 2% for long-life gold portfolios</t>
  </si>
  <si>
    <t xml:space="preserve">Investments not captured in FCFF</t>
  </si>
  <si>
    <t xml:space="preserve">Balance sheet</t>
  </si>
  <si>
    <t xml:space="preserve">Realized revenue per GEO vs. deck gold</t>
  </si>
  <si>
    <t xml:space="preserve">Northwall: H1-26 revenue per GEO ran 96-98% of LBMA</t>
  </si>
  <si>
    <t xml:space="preserve">Costs of sales, % of revenue</t>
  </si>
  <si>
    <t xml:space="preserve">Q2-26: 45.9 / 580.9 = 7.9%</t>
  </si>
  <si>
    <t xml:space="preserve">Cash share of income taxes</t>
  </si>
  <si>
    <t xml:space="preserve">Northwall: deferred tax ~30% of expense in H1-26</t>
  </si>
  <si>
    <t xml:space="preserve">NAV: GEOs held flat 2031-2035</t>
  </si>
  <si>
    <t xml:space="preserve">Northwall</t>
  </si>
  <si>
    <t xml:space="preserve">NAV: annual GEO decline after 2035</t>
  </si>
  <si>
    <t xml:space="preserve">NAV: annual G&amp;A</t>
  </si>
  <si>
    <t xml:space="preserve">NAV: cash taxes as % of EBITDA</t>
  </si>
  <si>
    <t xml:space="preserve">NAV discount rate (real)</t>
  </si>
  <si>
    <t xml:space="preserve">Northwall house rate for precious metals</t>
  </si>
  <si>
    <t xml:space="preserve">Cobre Panamá restart year</t>
  </si>
  <si>
    <t xml:space="preserve">Northwall assumption</t>
  </si>
  <si>
    <t xml:space="preserve">Cobre Panamá restart GEOs a year</t>
  </si>
  <si>
    <t xml:space="preserve">Company: 150-175k GEOs at full capacity (2025 results); Northwall uses the low end</t>
  </si>
  <si>
    <t xml:space="preserve">Cobre Panamá restart probability</t>
  </si>
  <si>
    <t xml:space="preserve">Exploration and undeveloped optionality</t>
  </si>
  <si>
    <t xml:space="preserve">Northwall assumption (~US$10/share)</t>
  </si>
  <si>
    <t xml:space="preserve">NAV share count</t>
  </si>
  <si>
    <t xml:space="preserve">2026E basic shares</t>
  </si>
  <si>
    <t xml:space="preserve">Gold, long-term real</t>
  </si>
  <si>
    <t xml:space="preserve">Northwall deck</t>
  </si>
  <si>
    <t xml:space="preserve">Risk-free rate (US 10-yr Treasury)</t>
  </si>
  <si>
    <t xml:space="preserve">%</t>
  </si>
  <si>
    <t xml:space="preserve">US 10-yr close 4.969% on Oct 26, 2026 (Mortgage News Daily)</t>
  </si>
  <si>
    <t xml:space="preserve">Equity risk premium</t>
  </si>
  <si>
    <t xml:space="preserve">Northwall assumption; within the 4-6% range of common historical and survey estimates (CFA L2 Return Concepts)</t>
  </si>
  <si>
    <t xml:space="preserve">Franco-Nevada Corporation — Operating and financial model (USD millions unless noted)</t>
  </si>
  <si>
    <t xml:space="preserve">H1-26A = reported six months; H2-26E = Northwall estimate; 2026E = H1 + H2. All cells are formulas.</t>
  </si>
  <si>
    <t xml:space="preserve">Line</t>
  </si>
  <si>
    <t xml:space="preserve">Method</t>
  </si>
  <si>
    <t xml:space="preserve">Volumes and price</t>
  </si>
  <si>
    <t xml:space="preserve">Revenue per GEO</t>
  </si>
  <si>
    <t xml:space="preserve">Realized revenue per GEO</t>
  </si>
  <si>
    <t xml:space="preserve">Income statement</t>
  </si>
  <si>
    <t xml:space="preserve">Revenue</t>
  </si>
  <si>
    <t xml:space="preserve">GEOs x deck gold x realization</t>
  </si>
  <si>
    <t xml:space="preserve">Costs of sales (excl. depletion)</t>
  </si>
  <si>
    <t xml:space="preserve">G&amp;A and share-based compensation</t>
  </si>
  <si>
    <t xml:space="preserve">Adjusted EBITDA</t>
  </si>
  <si>
    <t xml:space="preserve">Adjusted EBITDA margin</t>
  </si>
  <si>
    <t xml:space="preserve">Depletion and depreciation</t>
  </si>
  <si>
    <t xml:space="preserve">Adjusted pre-tax income</t>
  </si>
  <si>
    <t xml:space="preserve">Income taxes</t>
  </si>
  <si>
    <t xml:space="preserve">Adjusted net income</t>
  </si>
  <si>
    <t xml:space="preserve">Adjusted EPS</t>
  </si>
  <si>
    <t xml:space="preserve">Cash flow</t>
  </si>
  <si>
    <t xml:space="preserve">Operating cash flow</t>
  </si>
  <si>
    <t xml:space="preserve">EBITDA + finance income - cash taxes</t>
  </si>
  <si>
    <t xml:space="preserve">Cash flow per share</t>
  </si>
  <si>
    <t xml:space="preserve">Free cash flow to the firm (pre-acquisitions)</t>
  </si>
  <si>
    <t xml:space="preserve">No sustaining capital; acquisitions are discretionary growth</t>
  </si>
  <si>
    <t xml:space="preserve">Dividends paid</t>
  </si>
  <si>
    <t xml:space="preserve">Acquisitions of royalties and streams</t>
  </si>
  <si>
    <t xml:space="preserve">No production credit taken for unannounced deals</t>
  </si>
  <si>
    <t xml:space="preserve">Cash and equivalents, period end</t>
  </si>
  <si>
    <t xml:space="preserve">Net debt (negative = net cash)</t>
  </si>
  <si>
    <t xml:space="preserve">No debt drawn</t>
  </si>
  <si>
    <t xml:space="preserve">Shareholders' equity, period end</t>
  </si>
  <si>
    <t xml:space="preserve">Rolled forward: + NI - dividends (OCI ignored)</t>
  </si>
  <si>
    <t xml:space="preserve">Franco-Nevada Corporation — Valuation and price target</t>
  </si>
  <si>
    <t xml:space="preserve">Target methods first; CFA Level II cross-checks (DCF, reverse DCF, residual income, justified P/E) follow.</t>
  </si>
  <si>
    <t xml:space="preserve">Market data</t>
  </si>
  <si>
    <t xml:space="preserve">Share price (USD)</t>
  </si>
  <si>
    <t xml:space="preserve">Share price in model currency (USD)</t>
  </si>
  <si>
    <t xml:space="preserve">Converted when the listing currency differs from the reporting currency</t>
  </si>
  <si>
    <t xml:space="preserve">Basic shares outstanding (M)</t>
  </si>
  <si>
    <t xml:space="preserve">Market capitalization (M)</t>
  </si>
  <si>
    <t xml:space="preserve">Net debt (cash) at last balance sheet (M)</t>
  </si>
  <si>
    <t xml:space="preserve">Negative = net cash</t>
  </si>
  <si>
    <t xml:space="preserve">Enterprise value (M)</t>
  </si>
  <si>
    <t xml:space="preserve">Market cap + net debt</t>
  </si>
  <si>
    <t xml:space="preserve">Required return on equity (CAPM) and WACC — CFA L2 Equity: Return Concepts; Corporate Issuers: Cost of Capital</t>
  </si>
  <si>
    <t xml:space="preserve">Risk-free rate (US 10-yr)</t>
  </si>
  <si>
    <t xml:space="preserve">House deck</t>
  </si>
  <si>
    <t xml:space="preserve">Cost of equity: rf + beta x ERP</t>
  </si>
  <si>
    <t xml:space="preserve">CAPM</t>
  </si>
  <si>
    <t xml:space="preserve">Marginal tax rate</t>
  </si>
  <si>
    <t xml:space="preserve">Debt weight: D / (D + E), market values</t>
  </si>
  <si>
    <t xml:space="preserve">Gross debt at market cap</t>
  </si>
  <si>
    <t xml:space="preserve">WACC</t>
  </si>
  <si>
    <t xml:space="preserve">ke x E/V + kd x (1 - t) x D/V</t>
  </si>
  <si>
    <t xml:space="preserve">Target method 1: P/NAV — method 2: P/CF</t>
  </si>
  <si>
    <t xml:space="preserve">NAV per share (NAV sheet)</t>
  </si>
  <si>
    <t xml:space="preserve">Target P/NAV multiple</t>
  </si>
  <si>
    <t xml:space="preserve">Method 1 value per share</t>
  </si>
  <si>
    <t xml:space="preserve">Cash flow per share, 2027E</t>
  </si>
  <si>
    <t xml:space="preserve">Target P/CF multiple, 2027E</t>
  </si>
  <si>
    <t xml:space="preserve">Method 2 value per share</t>
  </si>
  <si>
    <t xml:space="preserve">Price target and rating</t>
  </si>
  <si>
    <t xml:space="preserve">Weight on method 1</t>
  </si>
  <si>
    <t xml:space="preserve">Weight on method 2</t>
  </si>
  <si>
    <t xml:space="preserve">Blended value per share (USD)</t>
  </si>
  <si>
    <t xml:space="preserve">Converted to listing currency</t>
  </si>
  <si>
    <t xml:space="preserve">12-month price target (USD), rounded</t>
  </si>
  <si>
    <t xml:space="preserve">Rounded to the house increment</t>
  </si>
  <si>
    <t xml:space="preserve">Next-12-month dividend per share (listing currency)</t>
  </si>
  <si>
    <t xml:space="preserve">Implied price return</t>
  </si>
  <si>
    <t xml:space="preserve">Dividend yield</t>
  </si>
  <si>
    <t xml:space="preserve">Rating bands: Buy &gt; 15%, Hold 0–15%, Sell &lt; 0%</t>
  </si>
  <si>
    <t xml:space="preserve">Cross-check 1: two-stage FCFF DCF — CFA L2 Equity: Free Cash Flow Valuation</t>
  </si>
  <si>
    <t xml:space="preserve">Valuation date: Dec 31, 2026. FCFF discounted at WACC, end-year; Gordon growth terminal value on 2030E FCFF.</t>
  </si>
  <si>
    <t xml:space="preserve">Year</t>
  </si>
  <si>
    <t xml:space="preserve">FCFF (USD M)</t>
  </si>
  <si>
    <t xml:space="preserve">Discount factor</t>
  </si>
  <si>
    <t xml:space="preserve">Present value</t>
  </si>
  <si>
    <t xml:space="preserve">Terminal growth, nominal</t>
  </si>
  <si>
    <t xml:space="preserve">PV of 2027E–2030E FCFF</t>
  </si>
  <si>
    <t xml:space="preserve">Terminal value at 2030</t>
  </si>
  <si>
    <t xml:space="preserve">FCFF 2030 x (1 + g) / (WACC - g)</t>
  </si>
  <si>
    <t xml:space="preserve">PV of terminal value</t>
  </si>
  <si>
    <t xml:space="preserve">Enterprise value (DCF)</t>
  </si>
  <si>
    <t xml:space="preserve">Less: net debt at Dec 31, 2026E</t>
  </si>
  <si>
    <t xml:space="preserve">From Model</t>
  </si>
  <si>
    <t xml:space="preserve">Plus: investments not in FCFF</t>
  </si>
  <si>
    <t xml:space="preserve">DCF value per share (USD)</t>
  </si>
  <si>
    <t xml:space="preserve">Cross-check only; not in the target weights</t>
  </si>
  <si>
    <t xml:space="preserve">DCF value vs. share price</t>
  </si>
  <si>
    <t xml:space="preserve">Terminal value share of EV</t>
  </si>
  <si>
    <t xml:space="preserve">A high share means the answer rests on long-run assumptions</t>
  </si>
  <si>
    <t xml:space="preserve">Cross-check 2: market-implied growth (reverse Gordon) — CFA L2 Equity: DDM / FCF valuation</t>
  </si>
  <si>
    <t xml:space="preserve">Next-year cash flow per share, 2027E (USD)</t>
  </si>
  <si>
    <t xml:space="preserve">Free cash flow to equity proxy</t>
  </si>
  <si>
    <t xml:space="preserve">Growth rate implied by today's price: ke - CF1 / P</t>
  </si>
  <si>
    <t xml:space="preserve">Compare with the growth the model actually forecasts</t>
  </si>
  <si>
    <t xml:space="preserve">Cross-check 3: residual income — CFA L2 Equity: Residual Income Valuation</t>
  </si>
  <si>
    <t xml:space="preserve">RI = NI - ke x opening book value. Terminal RI held flat in perpetuity (persistence = 1), discounted at ke.</t>
  </si>
  <si>
    <t xml:space="preserve">Net income</t>
  </si>
  <si>
    <t xml:space="preserve">Opening book value</t>
  </si>
  <si>
    <t xml:space="preserve">Residual income</t>
  </si>
  <si>
    <t xml:space="preserve">Discount factor (ke)</t>
  </si>
  <si>
    <t xml:space="preserve">PV of RI</t>
  </si>
  <si>
    <t xml:space="preserve">Book value at Dec 31, 2026E</t>
  </si>
  <si>
    <t xml:space="preserve">PV of 2027E–2030E residual income</t>
  </si>
  <si>
    <t xml:space="preserve">PV of terminal residual income</t>
  </si>
  <si>
    <t xml:space="preserve">Residual income value per share (USD)</t>
  </si>
  <si>
    <t xml:space="preserve">Cross-check only</t>
  </si>
  <si>
    <t xml:space="preserve">Cross-check 4: justified forward P/E — CFA L2 Equity: Market-Based Valuation</t>
  </si>
  <si>
    <t xml:space="preserve">Dividend payout ratio, 2027E</t>
  </si>
  <si>
    <t xml:space="preserve">Return on equity, 2027E</t>
  </si>
  <si>
    <t xml:space="preserve">Sustainable growth: retention x ROE</t>
  </si>
  <si>
    <t xml:space="preserve">g = b x ROE</t>
  </si>
  <si>
    <t xml:space="preserve">Justified forward P/E: payout / (ke - g)</t>
  </si>
  <si>
    <t xml:space="preserve">n/m when g &gt;= ke: a single-stage model cannot value this company</t>
  </si>
  <si>
    <t xml:space="preserve">Actual forward P/E, 2027E</t>
  </si>
  <si>
    <t xml:space="preserve">Franco-Nevada Corporation — Net asset value (5% real, Dec 31, 2026)</t>
  </si>
  <si>
    <t xml:space="preserve">Portfolio GEOs per Model to 2030E, flat to 2035, then a 4% annual decline to 2060.</t>
  </si>
  <si>
    <t xml:space="preserve">GEOs</t>
  </si>
  <si>
    <t xml:space="preserve">Gold price</t>
  </si>
  <si>
    <t xml:space="preserve">EBITDA</t>
  </si>
  <si>
    <t xml:space="preserve">After-tax cash flow</t>
  </si>
  <si>
    <t xml:space="preserve">Discount factor (mid-year)</t>
  </si>
  <si>
    <t xml:space="preserve">Cobre Panamá restart cash flow (unrisked)</t>
  </si>
  <si>
    <t xml:space="preserve">Cobre Panamá present value (unrisked)</t>
  </si>
  <si>
    <t xml:space="preserve">NAV summary</t>
  </si>
  <si>
    <t xml:space="preserve">Royalty and stream portfolio</t>
  </si>
  <si>
    <t xml:space="preserve">Cobre Panamá restart, unrisked</t>
  </si>
  <si>
    <t xml:space="preserve">Cobre Panamá restart, risked</t>
  </si>
  <si>
    <t xml:space="preserve">x probability</t>
  </si>
  <si>
    <t xml:space="preserve">Cash, Dec 31, 2026E</t>
  </si>
  <si>
    <t xml:space="preserve">Equity investments</t>
  </si>
  <si>
    <t xml:space="preserve">Net asset value</t>
  </si>
  <si>
    <t xml:space="preserve">NAV per share (US$)</t>
  </si>
  <si>
    <t xml:space="preserve">Risked Cobre Panamá value per share</t>
  </si>
  <si>
    <t xml:space="preserve">Franco-Nevada Corporation — Sensitivity</t>
  </si>
  <si>
    <t xml:space="preserve">Every cell is a live formula on the model; nothing is pasted.</t>
  </si>
  <si>
    <t xml:space="preserve">Price target (USD, before rounding) vs. the two valuation multiples</t>
  </si>
  <si>
    <t xml:space="preserve">P/NAV down, P/CF 2027E across</t>
  </si>
  <si>
    <t xml:space="preserve">DCF value per share vs. WACC (down) and terminal growth (across)</t>
  </si>
  <si>
    <t xml:space="preserve">Franco-Nevada Corporation — Financial analysis ratios</t>
  </si>
  <si>
    <t xml:space="preserve">CFA L2 Financial Statement Analysis: DuPont, cash conversion, leverage and payout. Formulas on the Model sheet.</t>
  </si>
  <si>
    <t xml:space="preserve">Ratio</t>
  </si>
  <si>
    <t xml:space="preserve">Reading</t>
  </si>
  <si>
    <t xml:space="preserve">Net margin (adjusted NI / revenue)</t>
  </si>
  <si>
    <t xml:space="preserve">Equity turnover (revenue / average equity)</t>
  </si>
  <si>
    <t xml:space="preserve">Return on average equity</t>
  </si>
  <si>
    <t xml:space="preserve">Two-step DuPont: net margin x equity turnover (no debt, so leverage ~1.0x)</t>
  </si>
  <si>
    <t xml:space="preserve">Cash conversion (operating cash flow / net income)</t>
  </si>
  <si>
    <t xml:space="preserve">Dividend payout (DPS / EPS)</t>
  </si>
  <si>
    <t xml:space="preserve">Reinvestment rate ((dividends + acquisitions) / OCF)</t>
  </si>
  <si>
    <t xml:space="preserve">Franco-Nevada Corporation — Peer comparison</t>
  </si>
  <si>
    <t xml:space="preserve">Senior royalty and streaming peers, H1-26 annualized (Royal Gold: Q2-26 annualized). Prices: FNV and RGLD Oct 26, WPM Oct 27, 2026.</t>
  </si>
  <si>
    <t xml:space="preserve">Company</t>
  </si>
  <si>
    <t xml:space="preserve">Ticker</t>
  </si>
  <si>
    <t xml:space="preserve">Price (US$)</t>
  </si>
  <si>
    <t xml:space="preserve">Mkt cap (US$B)</t>
  </si>
  <si>
    <t xml:space="preserve">P/E</t>
  </si>
  <si>
    <t xml:space="preserve">P/CF</t>
  </si>
  <si>
    <t xml:space="preserve">Net cash (US$B)</t>
  </si>
  <si>
    <t xml:space="preserve">Franco-Nevada</t>
  </si>
  <si>
    <t xml:space="preserve">FNV</t>
  </si>
  <si>
    <t xml:space="preserve">Wheaton Precious Metals</t>
  </si>
  <si>
    <t xml:space="preserve">WPM</t>
  </si>
  <si>
    <t xml:space="preserve">Royal Gold</t>
  </si>
  <si>
    <t xml:space="preserve">RGLD</t>
  </si>
  <si>
    <t xml:space="preserve">Source: Company Q2-26 filings; Northwall calculations</t>
  </si>
  <si>
    <t xml:space="preserve">Franco-Nevada Corporation — Model integrity checks</t>
  </si>
  <si>
    <t xml:space="preserve">Every check should read TRUE before anything is published.</t>
  </si>
  <si>
    <t xml:space="preserve">Check</t>
  </si>
  <si>
    <t xml:space="preserve">Expected</t>
  </si>
  <si>
    <t xml:space="preserve">Pass</t>
  </si>
  <si>
    <t xml:space="preserve">Price target equals the published target</t>
  </si>
  <si>
    <t xml:space="preserve">Rating equals the published rating</t>
  </si>
  <si>
    <t xml:space="preserve">Hold</t>
  </si>
  <si>
    <t xml:space="preserve">NAV per share equals the published NAVPS</t>
  </si>
  <si>
    <t xml:space="preserve">2026E adjusted EPS equals the published estimate</t>
  </si>
  <si>
    <t xml:space="preserve">2027E CFPS equals the published estimate</t>
  </si>
  <si>
    <t xml:space="preserve">2026E revenue = H1 actual + H2 estimate</t>
  </si>
  <si>
    <t xml:space="preserve">All checks pass</t>
  </si>
  <si>
    <t xml:space="preserve">Model change log</t>
  </si>
  <si>
    <t xml:space="preserve">Newest first. One row per change; never delete rows.</t>
  </si>
  <si>
    <t xml:space="preserve">Date</t>
  </si>
  <si>
    <t xml:space="preserve">Version</t>
  </si>
  <si>
    <t xml:space="preserve">Change</t>
  </si>
  <si>
    <t xml:space="preserve">Effect on target</t>
  </si>
  <si>
    <t xml:space="preserve">2026-10-27</t>
  </si>
  <si>
    <t xml:space="preserve">v2026Q2</t>
  </si>
  <si>
    <t xml:space="preserve">Model built on house template from Q2-26 filings; ties to the published 2026-10-27 report</t>
  </si>
  <si>
    <t xml:space="preserve">Target US$250, Hold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</si>
</sst>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#,##0.00;\(#,##0.00\);\-"/>
    <numFmt numFmtId="167" formatCode="0.0%;\(0.0%\);\-"/>
    <numFmt numFmtId="168" formatCode="#,##0;\(#,##0\);\-"/>
    <numFmt numFmtId="169" formatCode="0.000"/>
    <numFmt numFmtId="170" formatCode="#,##0.0;\(#,##0.0\);\-"/>
    <numFmt numFmtId="171" formatCode="0"/>
    <numFmt numFmtId="172" formatCode="0.0\x"/>
    <numFmt numFmtId="173" formatCode="0.0\x"/>
    <numFmt numFmtId="174" formatCode="0.00\x"/>
    <numFmt numFmtId="175" formatCode="0.0%"/>
    <numFmt numFmtId="176" formatCode="#,##0.00"/>
    <numFmt numFmtId="17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F5D7C"/>
      <name val="Arial"/>
      <family val="0"/>
      <charset val="1"/>
    </font>
    <font>
      <b val="true"/>
      <sz val="16"/>
      <color rgb="FF0F1A2B"/>
      <name val="Arial"/>
      <family val="0"/>
      <charset val="1"/>
    </font>
    <font>
      <i val="true"/>
      <sz val="8"/>
      <color rgb="FF5A6B7C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2"/>
      <charset val="1"/>
    </font>
    <font>
      <b val="true"/>
      <sz val="14"/>
      <color rgb="FF0F1A2B"/>
      <name val="Arial"/>
      <family val="0"/>
      <charset val="1"/>
    </font>
    <font>
      <b val="true"/>
      <sz val="11"/>
      <color rgb="FF0F1A2B"/>
      <name val="Arial"/>
      <family val="0"/>
      <charset val="1"/>
    </font>
    <font>
      <b val="true"/>
      <sz val="11"/>
      <color rgb="FFF7F8F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9EEF2"/>
        <bgColor rgb="FFF7F8FA"/>
      </patternFill>
    </fill>
    <fill>
      <patternFill patternType="solid">
        <fgColor rgb="FF0F1A2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8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EF2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C"/>
      <rgbColor rgb="FF969696"/>
      <rgbColor rgb="FF003366"/>
      <rgbColor rgb="FF339966"/>
      <rgbColor rgb="FF0F1A2B"/>
      <rgbColor rgb="FF333300"/>
      <rgbColor rgb="FF993300"/>
      <rgbColor rgb="FF993366"/>
      <rgbColor rgb="FF2F5D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</row>
    <row r="2" customFormat="false" ht="19.7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tr">
        <f aca="false">Valuation!$B$39</f>
        <v>Hold</v>
      </c>
    </row>
    <row r="6" customFormat="false" ht="15" hidden="false" customHeight="false" outlineLevel="0" collapsed="false">
      <c r="A6" s="4" t="s">
        <v>4</v>
      </c>
      <c r="B6" s="6" t="n">
        <f aca="false">Valuation!$B$34</f>
        <v>250</v>
      </c>
    </row>
    <row r="7" customFormat="false" ht="15" hidden="false" customHeight="false" outlineLevel="0" collapsed="false">
      <c r="A7" s="4" t="s">
        <v>5</v>
      </c>
      <c r="B7" s="6" t="n">
        <f aca="false">Valuation!$B$5</f>
        <v>230.76</v>
      </c>
    </row>
    <row r="8" customFormat="false" ht="15" hidden="false" customHeight="false" outlineLevel="0" collapsed="false">
      <c r="A8" s="4" t="s">
        <v>6</v>
      </c>
      <c r="B8" s="7" t="n">
        <f aca="false">Valuation!$B$38</f>
        <v>0.0910036401456059</v>
      </c>
    </row>
    <row r="9" customFormat="false" ht="15" hidden="false" customHeight="false" outlineLevel="0" collapsed="false">
      <c r="A9" s="4" t="s">
        <v>7</v>
      </c>
      <c r="B9" s="6" t="n">
        <f aca="false">Valuation!$B$25</f>
        <v>277.761756869142</v>
      </c>
    </row>
    <row r="10" customFormat="false" ht="15" hidden="false" customHeight="false" outlineLevel="0" collapsed="false">
      <c r="A10" s="4" t="s">
        <v>8</v>
      </c>
      <c r="B10" s="6" t="n">
        <f aca="false">Valuation!$B$28</f>
        <v>224.93758196484</v>
      </c>
    </row>
    <row r="11" customFormat="false" ht="15" hidden="false" customHeight="false" outlineLevel="0" collapsed="false">
      <c r="A11" s="4" t="s">
        <v>9</v>
      </c>
      <c r="B11" s="6" t="n">
        <f aca="false">Valuation!$B$55</f>
        <v>150.175398507067</v>
      </c>
    </row>
    <row r="12" customFormat="false" ht="15" hidden="false" customHeight="false" outlineLevel="0" collapsed="false">
      <c r="A12" s="4" t="s">
        <v>10</v>
      </c>
      <c r="B12" s="7" t="n">
        <f aca="false">Valuation!$B$16</f>
        <v>0.0787</v>
      </c>
    </row>
    <row r="13" customFormat="false" ht="15" hidden="false" customHeight="false" outlineLevel="0" collapsed="false">
      <c r="A13" s="4" t="s">
        <v>11</v>
      </c>
      <c r="B13" s="7" t="n">
        <f aca="false">Valuation!$B$61</f>
        <v>0.0397092594964743</v>
      </c>
    </row>
    <row r="14" customFormat="false" ht="15" hidden="false" customHeight="false" outlineLevel="0" collapsed="false">
      <c r="A14" s="4" t="s">
        <v>12</v>
      </c>
      <c r="B14" s="5" t="str">
        <f aca="false">IF(Checks!$D$12,"Yes","NO - see Checks")</f>
        <v>Yes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8" t="s">
        <v>14</v>
      </c>
    </row>
    <row r="18" customFormat="false" ht="15" hidden="false" customHeight="false" outlineLevel="0" collapsed="false">
      <c r="A18" s="9" t="s">
        <v>15</v>
      </c>
    </row>
    <row r="19" customFormat="false" ht="15" hidden="false" customHeight="false" outlineLevel="0" collapsed="false">
      <c r="A19" s="10" t="s">
        <v>16</v>
      </c>
    </row>
    <row r="20" customFormat="false" ht="15" hidden="false" customHeight="false" outlineLevel="0" collapsed="false">
      <c r="A20" s="11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12" t="s">
        <v>19</v>
      </c>
      <c r="B23" s="3" t="s">
        <v>20</v>
      </c>
    </row>
    <row r="24" customFormat="false" ht="15" hidden="false" customHeight="false" outlineLevel="0" collapsed="false">
      <c r="A24" s="12" t="s">
        <v>21</v>
      </c>
      <c r="B24" s="3" t="s">
        <v>22</v>
      </c>
    </row>
    <row r="25" customFormat="false" ht="15" hidden="false" customHeight="false" outlineLevel="0" collapsed="false">
      <c r="A25" s="12" t="s">
        <v>23</v>
      </c>
      <c r="B25" s="3" t="s">
        <v>24</v>
      </c>
    </row>
    <row r="26" customFormat="false" ht="15" hidden="false" customHeight="false" outlineLevel="0" collapsed="false">
      <c r="A26" s="12" t="s">
        <v>25</v>
      </c>
      <c r="B26" s="3" t="s">
        <v>26</v>
      </c>
    </row>
    <row r="27" customFormat="false" ht="15" hidden="false" customHeight="false" outlineLevel="0" collapsed="false">
      <c r="A27" s="12" t="s">
        <v>27</v>
      </c>
      <c r="B27" s="3" t="s">
        <v>28</v>
      </c>
    </row>
    <row r="28" customFormat="false" ht="15" hidden="false" customHeight="false" outlineLevel="0" collapsed="false">
      <c r="A28" s="12" t="s">
        <v>29</v>
      </c>
      <c r="B28" s="3" t="s">
        <v>30</v>
      </c>
    </row>
    <row r="29" customFormat="false" ht="15" hidden="false" customHeight="false" outlineLevel="0" collapsed="false">
      <c r="A29" s="12" t="s">
        <v>31</v>
      </c>
      <c r="B29" s="3" t="s">
        <v>32</v>
      </c>
    </row>
    <row r="30" customFormat="false" ht="15" hidden="false" customHeight="false" outlineLevel="0" collapsed="false">
      <c r="A30" s="12" t="s">
        <v>33</v>
      </c>
      <c r="B30" s="3" t="s">
        <v>34</v>
      </c>
    </row>
    <row r="31" customFormat="false" ht="15" hidden="false" customHeight="false" outlineLevel="0" collapsed="false">
      <c r="A31" s="12" t="s">
        <v>35</v>
      </c>
      <c r="B31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3" t="s">
        <v>37</v>
      </c>
    </row>
    <row r="2" customFormat="false" ht="15" hidden="false" customHeight="false" outlineLevel="0" collapsed="false">
      <c r="A2" s="3" t="s">
        <v>38</v>
      </c>
    </row>
    <row r="4" customFormat="false" ht="15" hidden="false" customHeight="false" outlineLevel="0" collapsed="false">
      <c r="A4" s="14" t="s">
        <v>39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customFormat="false" ht="15" hidden="false" customHeight="false" outlineLevel="0" collapsed="false">
      <c r="A5" s="16" t="s">
        <v>40</v>
      </c>
      <c r="B5" s="17" t="s">
        <v>41</v>
      </c>
      <c r="C5" s="17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7" t="s">
        <v>47</v>
      </c>
      <c r="I5" s="17" t="s">
        <v>48</v>
      </c>
      <c r="J5" s="17" t="s">
        <v>49</v>
      </c>
      <c r="K5" s="17" t="s">
        <v>50</v>
      </c>
    </row>
    <row r="6" customFormat="false" ht="15" hidden="false" customHeight="false" outlineLevel="0" collapsed="false">
      <c r="A6" s="4" t="s">
        <v>51</v>
      </c>
      <c r="B6" s="12" t="s">
        <v>52</v>
      </c>
      <c r="E6" s="18" t="n">
        <v>4200</v>
      </c>
      <c r="G6" s="18" t="n">
        <v>4000</v>
      </c>
      <c r="H6" s="18" t="n">
        <v>3800</v>
      </c>
      <c r="I6" s="18" t="n">
        <v>3600</v>
      </c>
      <c r="J6" s="18" t="n">
        <v>3500</v>
      </c>
      <c r="K6" s="3" t="s">
        <v>53</v>
      </c>
    </row>
    <row r="8" customFormat="false" ht="15" hidden="false" customHeight="false" outlineLevel="0" collapsed="false">
      <c r="A8" s="14" t="s">
        <v>54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5" hidden="false" customHeight="false" outlineLevel="0" collapsed="false">
      <c r="A9" s="16" t="s">
        <v>40</v>
      </c>
      <c r="B9" s="17" t="s">
        <v>41</v>
      </c>
      <c r="C9" s="17" t="s">
        <v>42</v>
      </c>
      <c r="D9" s="17" t="s">
        <v>43</v>
      </c>
      <c r="E9" s="17" t="s">
        <v>44</v>
      </c>
      <c r="F9" s="17" t="s">
        <v>45</v>
      </c>
      <c r="G9" s="17" t="s">
        <v>46</v>
      </c>
      <c r="H9" s="17" t="s">
        <v>47</v>
      </c>
      <c r="I9" s="17" t="s">
        <v>48</v>
      </c>
      <c r="J9" s="17" t="s">
        <v>49</v>
      </c>
      <c r="K9" s="17" t="s">
        <v>50</v>
      </c>
    </row>
    <row r="10" customFormat="false" ht="15" hidden="false" customHeight="false" outlineLevel="0" collapsed="false">
      <c r="A10" s="12" t="s">
        <v>55</v>
      </c>
      <c r="B10" s="12" t="s">
        <v>56</v>
      </c>
      <c r="C10" s="19" t="n">
        <v>519.106</v>
      </c>
      <c r="D10" s="19" t="n">
        <v>268.758</v>
      </c>
      <c r="E10" s="19" t="n">
        <v>283</v>
      </c>
      <c r="G10" s="19" t="n">
        <v>572</v>
      </c>
      <c r="H10" s="19" t="n">
        <v>570</v>
      </c>
      <c r="I10" s="19" t="n">
        <v>585</v>
      </c>
      <c r="J10" s="19" t="n">
        <v>600</v>
      </c>
      <c r="K10" s="3" t="s">
        <v>57</v>
      </c>
    </row>
    <row r="11" customFormat="false" ht="15" hidden="false" customHeight="false" outlineLevel="0" collapsed="false">
      <c r="A11" s="12" t="s">
        <v>58</v>
      </c>
      <c r="B11" s="12" t="s">
        <v>59</v>
      </c>
      <c r="C11" s="20" t="n">
        <v>1822.8</v>
      </c>
      <c r="D11" s="20" t="n">
        <v>1231.6</v>
      </c>
      <c r="K11" s="3" t="s">
        <v>60</v>
      </c>
    </row>
    <row r="12" customFormat="false" ht="15" hidden="false" customHeight="false" outlineLevel="0" collapsed="false">
      <c r="A12" s="12" t="s">
        <v>61</v>
      </c>
      <c r="B12" s="12" t="s">
        <v>59</v>
      </c>
      <c r="C12" s="20" t="n">
        <v>168.8</v>
      </c>
      <c r="D12" s="20" t="n">
        <v>92.4</v>
      </c>
      <c r="K12" s="3" t="s">
        <v>60</v>
      </c>
    </row>
    <row r="13" customFormat="false" ht="15" hidden="false" customHeight="false" outlineLevel="0" collapsed="false">
      <c r="A13" s="12" t="s">
        <v>62</v>
      </c>
      <c r="B13" s="12" t="s">
        <v>59</v>
      </c>
      <c r="C13" s="20" t="n">
        <v>35.3</v>
      </c>
      <c r="D13" s="20" t="n">
        <v>19.7</v>
      </c>
      <c r="K13" s="3" t="s">
        <v>63</v>
      </c>
    </row>
    <row r="14" customFormat="false" ht="15" hidden="false" customHeight="false" outlineLevel="0" collapsed="false">
      <c r="A14" s="12" t="s">
        <v>64</v>
      </c>
      <c r="B14" s="12" t="s">
        <v>59</v>
      </c>
      <c r="C14" s="20" t="n">
        <v>1656.1</v>
      </c>
      <c r="D14" s="20" t="n">
        <v>1121.6</v>
      </c>
      <c r="K14" s="3" t="s">
        <v>65</v>
      </c>
    </row>
    <row r="15" customFormat="false" ht="15" hidden="false" customHeight="false" outlineLevel="0" collapsed="false">
      <c r="A15" s="12" t="s">
        <v>66</v>
      </c>
      <c r="B15" s="12" t="s">
        <v>59</v>
      </c>
      <c r="C15" s="20" t="n">
        <v>306.7</v>
      </c>
      <c r="D15" s="20" t="n">
        <v>161.9</v>
      </c>
      <c r="K15" s="3" t="s">
        <v>67</v>
      </c>
    </row>
    <row r="16" customFormat="false" ht="15" hidden="false" customHeight="false" outlineLevel="0" collapsed="false">
      <c r="A16" s="12" t="s">
        <v>68</v>
      </c>
      <c r="B16" s="12" t="s">
        <v>59</v>
      </c>
      <c r="C16" s="20" t="n">
        <v>1075.2</v>
      </c>
      <c r="D16" s="20" t="n">
        <v>807.5</v>
      </c>
      <c r="K16" s="3" t="s">
        <v>69</v>
      </c>
    </row>
    <row r="17" customFormat="false" ht="15" hidden="false" customHeight="false" outlineLevel="0" collapsed="false">
      <c r="A17" s="12" t="s">
        <v>70</v>
      </c>
      <c r="B17" s="12" t="s">
        <v>59</v>
      </c>
      <c r="C17" s="20" t="n">
        <v>1493.7</v>
      </c>
      <c r="D17" s="20" t="n">
        <v>1002.9</v>
      </c>
      <c r="K17" s="3" t="s">
        <v>71</v>
      </c>
    </row>
    <row r="18" customFormat="false" ht="15" hidden="false" customHeight="false" outlineLevel="0" collapsed="false">
      <c r="A18" s="12" t="s">
        <v>72</v>
      </c>
      <c r="B18" s="12" t="s">
        <v>59</v>
      </c>
      <c r="C18" s="20" t="n">
        <v>670.9</v>
      </c>
      <c r="D18" s="20" t="n">
        <v>1014.2</v>
      </c>
      <c r="K18" s="3" t="s">
        <v>73</v>
      </c>
    </row>
    <row r="19" customFormat="false" ht="15" hidden="false" customHeight="false" outlineLevel="0" collapsed="false">
      <c r="A19" s="12" t="s">
        <v>74</v>
      </c>
      <c r="B19" s="12" t="s">
        <v>59</v>
      </c>
      <c r="C19" s="20" t="n">
        <v>7635.3</v>
      </c>
      <c r="D19" s="20" t="n">
        <v>8240.7</v>
      </c>
      <c r="K19" s="3" t="s">
        <v>73</v>
      </c>
    </row>
    <row r="20" customFormat="false" ht="15" hidden="false" customHeight="false" outlineLevel="0" collapsed="false">
      <c r="A20" s="12" t="s">
        <v>75</v>
      </c>
      <c r="B20" s="12" t="s">
        <v>52</v>
      </c>
      <c r="E20" s="18" t="n">
        <v>635</v>
      </c>
      <c r="G20" s="18" t="n">
        <v>645</v>
      </c>
      <c r="H20" s="18" t="n">
        <v>650</v>
      </c>
      <c r="I20" s="18" t="n">
        <v>655</v>
      </c>
      <c r="J20" s="18" t="n">
        <v>660</v>
      </c>
      <c r="K20" s="3" t="s">
        <v>76</v>
      </c>
    </row>
    <row r="21" customFormat="false" ht="15" hidden="false" customHeight="false" outlineLevel="0" collapsed="false">
      <c r="A21" s="12" t="s">
        <v>77</v>
      </c>
      <c r="B21" s="12" t="s">
        <v>59</v>
      </c>
      <c r="E21" s="20" t="n">
        <v>14</v>
      </c>
      <c r="G21" s="20" t="n">
        <v>30</v>
      </c>
      <c r="H21" s="20" t="n">
        <v>30</v>
      </c>
      <c r="I21" s="20" t="n">
        <v>30</v>
      </c>
      <c r="J21" s="20" t="n">
        <v>30</v>
      </c>
      <c r="K21" s="3" t="s">
        <v>78</v>
      </c>
    </row>
    <row r="22" customFormat="false" ht="15" hidden="false" customHeight="false" outlineLevel="0" collapsed="false">
      <c r="A22" s="12" t="s">
        <v>79</v>
      </c>
      <c r="B22" s="12" t="s">
        <v>59</v>
      </c>
      <c r="E22" s="21" t="n">
        <v>21</v>
      </c>
      <c r="G22" s="21" t="n">
        <v>43.26</v>
      </c>
      <c r="H22" s="21" t="n">
        <v>44.56</v>
      </c>
      <c r="I22" s="21" t="n">
        <v>45.9</v>
      </c>
      <c r="J22" s="21" t="n">
        <v>47.27</v>
      </c>
      <c r="K22" s="3" t="s">
        <v>80</v>
      </c>
    </row>
    <row r="23" customFormat="false" ht="15" hidden="false" customHeight="false" outlineLevel="0" collapsed="false">
      <c r="A23" s="12" t="s">
        <v>81</v>
      </c>
      <c r="B23" s="12" t="s">
        <v>59</v>
      </c>
      <c r="E23" s="20" t="n">
        <v>60</v>
      </c>
      <c r="G23" s="20" t="n">
        <v>500</v>
      </c>
      <c r="H23" s="20" t="n">
        <v>500</v>
      </c>
      <c r="I23" s="20" t="n">
        <v>500</v>
      </c>
      <c r="J23" s="20" t="n">
        <v>500</v>
      </c>
      <c r="K23" s="3" t="s">
        <v>82</v>
      </c>
    </row>
    <row r="24" customFormat="false" ht="15" hidden="false" customHeight="false" outlineLevel="0" collapsed="false">
      <c r="A24" s="12" t="s">
        <v>83</v>
      </c>
      <c r="B24" s="12" t="s">
        <v>84</v>
      </c>
      <c r="C24" s="20" t="n">
        <v>192.7</v>
      </c>
      <c r="D24" s="20" t="n">
        <v>192.8</v>
      </c>
      <c r="E24" s="20" t="n">
        <v>193</v>
      </c>
      <c r="F24" s="20" t="n">
        <v>193</v>
      </c>
      <c r="G24" s="20" t="n">
        <v>193.4</v>
      </c>
      <c r="H24" s="20" t="n">
        <v>193.8</v>
      </c>
      <c r="I24" s="20" t="n">
        <v>194.2</v>
      </c>
      <c r="J24" s="20" t="n">
        <v>194.6</v>
      </c>
      <c r="K24" s="3" t="s">
        <v>85</v>
      </c>
    </row>
    <row r="25" customFormat="false" ht="15" hidden="false" customHeight="false" outlineLevel="0" collapsed="false">
      <c r="A25" s="12" t="s">
        <v>86</v>
      </c>
      <c r="B25" s="12" t="s">
        <v>87</v>
      </c>
      <c r="C25" s="21" t="n">
        <v>1.52</v>
      </c>
      <c r="D25" s="21" t="n">
        <v>0.88</v>
      </c>
      <c r="E25" s="21" t="n">
        <v>0.88</v>
      </c>
      <c r="G25" s="21" t="n">
        <v>1.92</v>
      </c>
      <c r="H25" s="21" t="n">
        <v>2.08</v>
      </c>
      <c r="I25" s="21" t="n">
        <v>2.24</v>
      </c>
      <c r="J25" s="21" t="n">
        <v>2.4</v>
      </c>
      <c r="K25" s="3" t="s">
        <v>88</v>
      </c>
    </row>
    <row r="27" customFormat="false" ht="15" hidden="false" customHeight="false" outlineLevel="0" collapsed="false">
      <c r="A27" s="14" t="s">
        <v>89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customFormat="false" ht="15" hidden="false" customHeight="false" outlineLevel="0" collapsed="false">
      <c r="A28" s="16" t="s">
        <v>40</v>
      </c>
      <c r="B28" s="17" t="s">
        <v>41</v>
      </c>
      <c r="C28" s="17" t="s">
        <v>90</v>
      </c>
      <c r="D28" s="17"/>
      <c r="E28" s="17"/>
      <c r="F28" s="17"/>
      <c r="G28" s="17"/>
      <c r="H28" s="17"/>
      <c r="I28" s="17"/>
      <c r="J28" s="17"/>
      <c r="K28" s="17" t="s">
        <v>50</v>
      </c>
    </row>
    <row r="29" customFormat="false" ht="15" hidden="false" customHeight="false" outlineLevel="0" collapsed="false">
      <c r="A29" s="12" t="s">
        <v>91</v>
      </c>
      <c r="B29" s="12"/>
      <c r="C29" s="21" t="n">
        <v>230.76</v>
      </c>
      <c r="K29" s="3" t="s">
        <v>92</v>
      </c>
    </row>
    <row r="30" customFormat="false" ht="15" hidden="false" customHeight="false" outlineLevel="0" collapsed="false">
      <c r="A30" s="12" t="s">
        <v>93</v>
      </c>
      <c r="B30" s="12"/>
      <c r="C30" s="19" t="n">
        <v>1</v>
      </c>
      <c r="K30" s="3" t="s">
        <v>94</v>
      </c>
    </row>
    <row r="31" customFormat="false" ht="15" hidden="false" customHeight="false" outlineLevel="0" collapsed="false">
      <c r="A31" s="12" t="s">
        <v>95</v>
      </c>
      <c r="B31" s="12" t="s">
        <v>84</v>
      </c>
      <c r="C31" s="20" t="n">
        <v>192.9</v>
      </c>
      <c r="K31" s="3" t="s">
        <v>96</v>
      </c>
    </row>
    <row r="32" customFormat="false" ht="15" hidden="false" customHeight="false" outlineLevel="0" collapsed="false">
      <c r="A32" s="12" t="s">
        <v>97</v>
      </c>
      <c r="B32" s="12" t="s">
        <v>84</v>
      </c>
      <c r="C32" s="18" t="n">
        <v>-1014.2</v>
      </c>
      <c r="K32" s="3" t="s">
        <v>98</v>
      </c>
    </row>
    <row r="33" customFormat="false" ht="15" hidden="false" customHeight="false" outlineLevel="0" collapsed="false">
      <c r="A33" s="12" t="s">
        <v>99</v>
      </c>
      <c r="B33" s="12"/>
      <c r="C33" s="21" t="n">
        <v>0.58</v>
      </c>
      <c r="K33" s="3" t="s">
        <v>100</v>
      </c>
    </row>
    <row r="34" customFormat="false" ht="15" hidden="false" customHeight="false" outlineLevel="0" collapsed="false">
      <c r="A34" s="12" t="s">
        <v>101</v>
      </c>
      <c r="B34" s="12"/>
      <c r="C34" s="22" t="n">
        <v>0.055</v>
      </c>
      <c r="K34" s="3" t="s">
        <v>102</v>
      </c>
    </row>
    <row r="35" customFormat="false" ht="15" hidden="false" customHeight="false" outlineLevel="0" collapsed="false">
      <c r="A35" s="12" t="s">
        <v>103</v>
      </c>
      <c r="B35" s="12"/>
      <c r="C35" s="22" t="n">
        <v>0.22</v>
      </c>
      <c r="K35" s="3" t="s">
        <v>104</v>
      </c>
    </row>
    <row r="36" customFormat="false" ht="15" hidden="false" customHeight="false" outlineLevel="0" collapsed="false">
      <c r="A36" s="12" t="s">
        <v>105</v>
      </c>
      <c r="B36" s="12" t="s">
        <v>84</v>
      </c>
      <c r="C36" s="18" t="n">
        <v>0</v>
      </c>
      <c r="K36" s="3" t="s">
        <v>98</v>
      </c>
    </row>
    <row r="37" customFormat="false" ht="15" hidden="false" customHeight="false" outlineLevel="0" collapsed="false">
      <c r="A37" s="12" t="s">
        <v>106</v>
      </c>
      <c r="B37" s="12"/>
      <c r="C37" s="22" t="n">
        <v>0.5</v>
      </c>
      <c r="K37" s="3" t="s">
        <v>107</v>
      </c>
    </row>
    <row r="38" customFormat="false" ht="15" hidden="false" customHeight="false" outlineLevel="0" collapsed="false">
      <c r="A38" s="12" t="s">
        <v>108</v>
      </c>
      <c r="B38" s="12"/>
      <c r="C38" s="23" t="n">
        <v>2</v>
      </c>
      <c r="K38" s="3" t="s">
        <v>109</v>
      </c>
    </row>
    <row r="39" customFormat="false" ht="15" hidden="false" customHeight="false" outlineLevel="0" collapsed="false">
      <c r="A39" s="12" t="s">
        <v>110</v>
      </c>
      <c r="B39" s="12"/>
      <c r="C39" s="23" t="n">
        <v>25</v>
      </c>
      <c r="K39" s="3" t="s">
        <v>111</v>
      </c>
    </row>
    <row r="40" customFormat="false" ht="15" hidden="false" customHeight="false" outlineLevel="0" collapsed="false">
      <c r="A40" s="12" t="s">
        <v>112</v>
      </c>
      <c r="B40" s="12"/>
      <c r="C40" s="21" t="n">
        <v>1.76</v>
      </c>
      <c r="K40" s="3" t="s">
        <v>113</v>
      </c>
    </row>
    <row r="41" customFormat="false" ht="15" hidden="false" customHeight="false" outlineLevel="0" collapsed="false">
      <c r="A41" s="12" t="s">
        <v>114</v>
      </c>
      <c r="B41" s="12"/>
      <c r="C41" s="21" t="n">
        <v>5</v>
      </c>
      <c r="K41" s="3" t="s">
        <v>115</v>
      </c>
    </row>
    <row r="42" customFormat="false" ht="15" hidden="false" customHeight="false" outlineLevel="0" collapsed="false">
      <c r="A42" s="12" t="s">
        <v>116</v>
      </c>
      <c r="B42" s="12"/>
      <c r="C42" s="22" t="n">
        <v>0.15</v>
      </c>
      <c r="K42" s="3" t="s">
        <v>117</v>
      </c>
    </row>
    <row r="43" customFormat="false" ht="15" hidden="false" customHeight="false" outlineLevel="0" collapsed="false">
      <c r="A43" s="12" t="s">
        <v>118</v>
      </c>
      <c r="B43" s="12"/>
      <c r="C43" s="22" t="n">
        <v>0.02</v>
      </c>
      <c r="K43" s="3" t="s">
        <v>119</v>
      </c>
    </row>
    <row r="44" customFormat="false" ht="15" hidden="false" customHeight="false" outlineLevel="0" collapsed="false">
      <c r="A44" s="12" t="s">
        <v>120</v>
      </c>
      <c r="B44" s="12" t="s">
        <v>84</v>
      </c>
      <c r="C44" s="18" t="n">
        <v>1215.1</v>
      </c>
      <c r="K44" s="3" t="s">
        <v>121</v>
      </c>
    </row>
    <row r="45" customFormat="false" ht="15" hidden="false" customHeight="false" outlineLevel="0" collapsed="false">
      <c r="A45" s="12" t="s">
        <v>122</v>
      </c>
      <c r="B45" s="12"/>
      <c r="C45" s="22" t="n">
        <v>0.97</v>
      </c>
      <c r="K45" s="3" t="s">
        <v>123</v>
      </c>
    </row>
    <row r="46" customFormat="false" ht="15" hidden="false" customHeight="false" outlineLevel="0" collapsed="false">
      <c r="A46" s="12" t="s">
        <v>124</v>
      </c>
      <c r="B46" s="12"/>
      <c r="C46" s="22" t="n">
        <v>0.078</v>
      </c>
      <c r="K46" s="3" t="s">
        <v>125</v>
      </c>
    </row>
    <row r="47" customFormat="false" ht="15" hidden="false" customHeight="false" outlineLevel="0" collapsed="false">
      <c r="A47" s="12" t="s">
        <v>126</v>
      </c>
      <c r="B47" s="12"/>
      <c r="C47" s="22" t="n">
        <v>0.8</v>
      </c>
      <c r="K47" s="3" t="s">
        <v>127</v>
      </c>
    </row>
    <row r="48" customFormat="false" ht="15" hidden="false" customHeight="false" outlineLevel="0" collapsed="false">
      <c r="A48" s="12" t="s">
        <v>128</v>
      </c>
      <c r="B48" s="12" t="s">
        <v>56</v>
      </c>
      <c r="C48" s="18" t="n">
        <v>600</v>
      </c>
      <c r="K48" s="3" t="s">
        <v>129</v>
      </c>
    </row>
    <row r="49" customFormat="false" ht="15" hidden="false" customHeight="false" outlineLevel="0" collapsed="false">
      <c r="A49" s="12" t="s">
        <v>130</v>
      </c>
      <c r="B49" s="12"/>
      <c r="C49" s="22" t="n">
        <v>0.04</v>
      </c>
      <c r="K49" s="3" t="s">
        <v>129</v>
      </c>
    </row>
    <row r="50" customFormat="false" ht="15" hidden="false" customHeight="false" outlineLevel="0" collapsed="false">
      <c r="A50" s="12" t="s">
        <v>131</v>
      </c>
      <c r="B50" s="12" t="s">
        <v>59</v>
      </c>
      <c r="C50" s="18" t="n">
        <v>42</v>
      </c>
      <c r="K50" s="3" t="s">
        <v>129</v>
      </c>
    </row>
    <row r="51" customFormat="false" ht="15" hidden="false" customHeight="false" outlineLevel="0" collapsed="false">
      <c r="A51" s="12" t="s">
        <v>132</v>
      </c>
      <c r="B51" s="12"/>
      <c r="C51" s="22" t="n">
        <v>0.19</v>
      </c>
      <c r="K51" s="3" t="s">
        <v>129</v>
      </c>
    </row>
    <row r="52" customFormat="false" ht="15" hidden="false" customHeight="false" outlineLevel="0" collapsed="false">
      <c r="A52" s="12" t="s">
        <v>133</v>
      </c>
      <c r="B52" s="12"/>
      <c r="C52" s="24" t="n">
        <v>0.05</v>
      </c>
      <c r="K52" s="3" t="s">
        <v>134</v>
      </c>
    </row>
    <row r="53" customFormat="false" ht="15" hidden="false" customHeight="false" outlineLevel="0" collapsed="false">
      <c r="A53" s="12" t="s">
        <v>135</v>
      </c>
      <c r="B53" s="12"/>
      <c r="C53" s="25" t="n">
        <v>2029</v>
      </c>
      <c r="K53" s="3" t="s">
        <v>136</v>
      </c>
    </row>
    <row r="54" customFormat="false" ht="15" hidden="false" customHeight="false" outlineLevel="0" collapsed="false">
      <c r="A54" s="12" t="s">
        <v>137</v>
      </c>
      <c r="B54" s="12" t="s">
        <v>56</v>
      </c>
      <c r="C54" s="18" t="n">
        <v>150</v>
      </c>
      <c r="K54" s="3" t="s">
        <v>138</v>
      </c>
    </row>
    <row r="55" customFormat="false" ht="15" hidden="false" customHeight="false" outlineLevel="0" collapsed="false">
      <c r="A55" s="12" t="s">
        <v>139</v>
      </c>
      <c r="B55" s="12"/>
      <c r="C55" s="24" t="n">
        <v>0.35</v>
      </c>
      <c r="K55" s="3" t="s">
        <v>136</v>
      </c>
    </row>
    <row r="56" customFormat="false" ht="15" hidden="false" customHeight="false" outlineLevel="0" collapsed="false">
      <c r="A56" s="12" t="s">
        <v>140</v>
      </c>
      <c r="B56" s="12" t="s">
        <v>59</v>
      </c>
      <c r="C56" s="18" t="n">
        <v>2000</v>
      </c>
      <c r="K56" s="3" t="s">
        <v>141</v>
      </c>
    </row>
    <row r="57" customFormat="false" ht="15" hidden="false" customHeight="false" outlineLevel="0" collapsed="false">
      <c r="A57" s="12" t="s">
        <v>142</v>
      </c>
      <c r="B57" s="12" t="s">
        <v>84</v>
      </c>
      <c r="C57" s="20" t="n">
        <v>193</v>
      </c>
      <c r="K57" s="3" t="s">
        <v>143</v>
      </c>
    </row>
    <row r="58" customFormat="false" ht="15" hidden="false" customHeight="false" outlineLevel="0" collapsed="false">
      <c r="A58" s="12" t="s">
        <v>144</v>
      </c>
      <c r="B58" s="12" t="s">
        <v>52</v>
      </c>
      <c r="C58" s="18" t="n">
        <v>3500</v>
      </c>
      <c r="K58" s="3" t="s">
        <v>145</v>
      </c>
    </row>
    <row r="59" customFormat="false" ht="15" hidden="false" customHeight="false" outlineLevel="0" collapsed="false">
      <c r="A59" s="12" t="s">
        <v>146</v>
      </c>
      <c r="B59" s="12" t="s">
        <v>147</v>
      </c>
      <c r="C59" s="22" t="n">
        <v>0.0497</v>
      </c>
      <c r="K59" s="3" t="s">
        <v>148</v>
      </c>
    </row>
    <row r="60" customFormat="false" ht="15" hidden="false" customHeight="false" outlineLevel="0" collapsed="false">
      <c r="A60" s="12" t="s">
        <v>149</v>
      </c>
      <c r="B60" s="12" t="s">
        <v>147</v>
      </c>
      <c r="C60" s="22" t="n">
        <v>0.05</v>
      </c>
      <c r="K60" s="3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3" t="s">
        <v>151</v>
      </c>
    </row>
    <row r="2" customFormat="false" ht="15" hidden="false" customHeight="false" outlineLevel="0" collapsed="false">
      <c r="A2" s="3" t="s">
        <v>152</v>
      </c>
    </row>
    <row r="4" customFormat="false" ht="15" hidden="false" customHeight="false" outlineLevel="0" collapsed="false">
      <c r="A4" s="16" t="s">
        <v>153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154</v>
      </c>
    </row>
    <row r="5" customFormat="false" ht="15" hidden="false" customHeight="false" outlineLevel="0" collapsed="false">
      <c r="A5" s="14" t="s">
        <v>155</v>
      </c>
      <c r="B5" s="15"/>
      <c r="C5" s="15"/>
      <c r="D5" s="15"/>
      <c r="E5" s="15"/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9" t="s">
        <v>55</v>
      </c>
      <c r="B6" s="12" t="s">
        <v>56</v>
      </c>
      <c r="C6" s="26" t="n">
        <f aca="false">Inputs!C10</f>
        <v>519.106</v>
      </c>
      <c r="D6" s="26" t="n">
        <f aca="false">Inputs!D10</f>
        <v>268.758</v>
      </c>
      <c r="E6" s="26" t="n">
        <f aca="false">Inputs!E10</f>
        <v>283</v>
      </c>
      <c r="F6" s="27" t="n">
        <f aca="false">D6+E6</f>
        <v>551.758</v>
      </c>
      <c r="G6" s="26" t="n">
        <f aca="false">Inputs!G10</f>
        <v>572</v>
      </c>
      <c r="H6" s="26" t="n">
        <f aca="false">Inputs!H10</f>
        <v>570</v>
      </c>
      <c r="I6" s="26" t="n">
        <f aca="false">Inputs!I10</f>
        <v>585</v>
      </c>
      <c r="J6" s="26" t="n">
        <f aca="false">Inputs!J10</f>
        <v>600</v>
      </c>
      <c r="K6" s="3"/>
    </row>
    <row r="7" customFormat="false" ht="15" hidden="false" customHeight="false" outlineLevel="0" collapsed="false">
      <c r="A7" s="9" t="s">
        <v>51</v>
      </c>
      <c r="B7" s="12" t="s">
        <v>52</v>
      </c>
      <c r="E7" s="28" t="n">
        <f aca="false">Inputs!E6</f>
        <v>4200</v>
      </c>
      <c r="G7" s="28" t="n">
        <f aca="false">Inputs!G6</f>
        <v>4000</v>
      </c>
      <c r="H7" s="28" t="n">
        <f aca="false">Inputs!H6</f>
        <v>3800</v>
      </c>
      <c r="I7" s="28" t="n">
        <f aca="false">Inputs!I6</f>
        <v>3600</v>
      </c>
      <c r="J7" s="28" t="n">
        <f aca="false">Inputs!J6</f>
        <v>3500</v>
      </c>
      <c r="K7" s="3"/>
    </row>
    <row r="8" customFormat="false" ht="15" hidden="false" customHeight="false" outlineLevel="0" collapsed="false">
      <c r="A8" s="9" t="s">
        <v>156</v>
      </c>
      <c r="B8" s="12" t="s">
        <v>52</v>
      </c>
      <c r="C8" s="29" t="n">
        <f aca="false">C10/C6*1000</f>
        <v>3511.42155937323</v>
      </c>
      <c r="D8" s="29" t="n">
        <f aca="false">D10/D6*1000</f>
        <v>4582.56126329263</v>
      </c>
      <c r="E8" s="29" t="n">
        <f aca="false">E10/E6*1000</f>
        <v>4074</v>
      </c>
      <c r="F8" s="29" t="n">
        <f aca="false">F10/F6*1000</f>
        <v>4321.71712961117</v>
      </c>
      <c r="G8" s="29" t="n">
        <f aca="false">G10/G6*1000</f>
        <v>3880</v>
      </c>
      <c r="H8" s="29" t="n">
        <f aca="false">H10/H6*1000</f>
        <v>3686</v>
      </c>
      <c r="I8" s="29" t="n">
        <f aca="false">I10/I6*1000</f>
        <v>3492</v>
      </c>
      <c r="J8" s="29" t="n">
        <f aca="false">J10/J6*1000</f>
        <v>3395</v>
      </c>
      <c r="K8" s="3" t="s">
        <v>157</v>
      </c>
    </row>
    <row r="9" customFormat="false" ht="15" hidden="false" customHeight="false" outlineLevel="0" collapsed="false">
      <c r="A9" s="14" t="s">
        <v>158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4" t="s">
        <v>159</v>
      </c>
      <c r="B10" s="12" t="s">
        <v>59</v>
      </c>
      <c r="C10" s="30" t="n">
        <f aca="false">Inputs!C11</f>
        <v>1822.8</v>
      </c>
      <c r="D10" s="30" t="n">
        <f aca="false">Inputs!D11</f>
        <v>1231.6</v>
      </c>
      <c r="E10" s="30" t="n">
        <f aca="false">E6*E7*Inputs!$C$45/1000</f>
        <v>1152.942</v>
      </c>
      <c r="F10" s="30" t="n">
        <f aca="false">D10+E10</f>
        <v>2384.542</v>
      </c>
      <c r="G10" s="30" t="n">
        <f aca="false">G6*G7*Inputs!$C$45/1000</f>
        <v>2219.36</v>
      </c>
      <c r="H10" s="30" t="n">
        <f aca="false">H6*H7*Inputs!$C$45/1000</f>
        <v>2101.02</v>
      </c>
      <c r="I10" s="30" t="n">
        <f aca="false">I6*I7*Inputs!$C$45/1000</f>
        <v>2042.82</v>
      </c>
      <c r="J10" s="30" t="n">
        <f aca="false">J6*J7*Inputs!$C$45/1000</f>
        <v>2037</v>
      </c>
      <c r="K10" s="3" t="s">
        <v>160</v>
      </c>
    </row>
    <row r="11" customFormat="false" ht="15" hidden="false" customHeight="false" outlineLevel="0" collapsed="false">
      <c r="A11" s="9" t="s">
        <v>161</v>
      </c>
      <c r="B11" s="12" t="s">
        <v>59</v>
      </c>
      <c r="C11" s="26" t="n">
        <f aca="false">Inputs!C12</f>
        <v>168.8</v>
      </c>
      <c r="D11" s="26" t="n">
        <f aca="false">Inputs!D12</f>
        <v>92.4</v>
      </c>
      <c r="E11" s="27" t="n">
        <f aca="false">E10*Inputs!$C$46</f>
        <v>89.929476</v>
      </c>
      <c r="F11" s="27" t="n">
        <f aca="false">D11+E11</f>
        <v>182.329476</v>
      </c>
      <c r="G11" s="27" t="n">
        <f aca="false">G10*Inputs!$C$46</f>
        <v>173.11008</v>
      </c>
      <c r="H11" s="27" t="n">
        <f aca="false">H10*Inputs!$C$46</f>
        <v>163.87956</v>
      </c>
      <c r="I11" s="27" t="n">
        <f aca="false">I10*Inputs!$C$46</f>
        <v>159.33996</v>
      </c>
      <c r="J11" s="27" t="n">
        <f aca="false">J10*Inputs!$C$46</f>
        <v>158.886</v>
      </c>
      <c r="K11" s="3"/>
    </row>
    <row r="12" customFormat="false" ht="15" hidden="false" customHeight="false" outlineLevel="0" collapsed="false">
      <c r="A12" s="9" t="s">
        <v>162</v>
      </c>
      <c r="B12" s="12" t="s">
        <v>59</v>
      </c>
      <c r="C12" s="26" t="n">
        <f aca="false">Inputs!C13</f>
        <v>35.3</v>
      </c>
      <c r="D12" s="26" t="n">
        <f aca="false">Inputs!D13</f>
        <v>19.7</v>
      </c>
      <c r="E12" s="26" t="n">
        <f aca="false">Inputs!E22</f>
        <v>21</v>
      </c>
      <c r="F12" s="27" t="n">
        <f aca="false">D12+E12</f>
        <v>40.7</v>
      </c>
      <c r="G12" s="26" t="n">
        <f aca="false">Inputs!G22</f>
        <v>43.26</v>
      </c>
      <c r="H12" s="26" t="n">
        <f aca="false">Inputs!H22</f>
        <v>44.56</v>
      </c>
      <c r="I12" s="26" t="n">
        <f aca="false">Inputs!I22</f>
        <v>45.9</v>
      </c>
      <c r="J12" s="26" t="n">
        <f aca="false">Inputs!J22</f>
        <v>47.27</v>
      </c>
      <c r="K12" s="3"/>
    </row>
    <row r="13" customFormat="false" ht="15" hidden="false" customHeight="false" outlineLevel="0" collapsed="false">
      <c r="A13" s="4" t="s">
        <v>163</v>
      </c>
      <c r="B13" s="12" t="s">
        <v>59</v>
      </c>
      <c r="C13" s="30" t="n">
        <f aca="false">Inputs!C14</f>
        <v>1656.1</v>
      </c>
      <c r="D13" s="30" t="n">
        <f aca="false">Inputs!D14</f>
        <v>1121.6</v>
      </c>
      <c r="E13" s="30" t="n">
        <f aca="false">E10-E11-E12</f>
        <v>1042.012524</v>
      </c>
      <c r="F13" s="30" t="n">
        <f aca="false">D13+E13</f>
        <v>2163.612524</v>
      </c>
      <c r="G13" s="30" t="n">
        <f aca="false">G10-G11-G12</f>
        <v>2002.98992</v>
      </c>
      <c r="H13" s="30" t="n">
        <f aca="false">H10-H11-H12</f>
        <v>1892.58044</v>
      </c>
      <c r="I13" s="30" t="n">
        <f aca="false">I10-I11-I12</f>
        <v>1837.58004</v>
      </c>
      <c r="J13" s="30" t="n">
        <f aca="false">J10-J11-J12</f>
        <v>1830.844</v>
      </c>
      <c r="K13" s="3"/>
    </row>
    <row r="14" customFormat="false" ht="15" hidden="false" customHeight="false" outlineLevel="0" collapsed="false">
      <c r="A14" s="9" t="s">
        <v>164</v>
      </c>
      <c r="B14" s="12" t="s">
        <v>147</v>
      </c>
      <c r="C14" s="31" t="n">
        <f aca="false">C13/C10</f>
        <v>0.908547289883695</v>
      </c>
      <c r="D14" s="31" t="n">
        <f aca="false">D13/D10</f>
        <v>0.910685287430984</v>
      </c>
      <c r="E14" s="31" t="n">
        <f aca="false">E13/E10</f>
        <v>0.903785727295909</v>
      </c>
      <c r="F14" s="31" t="n">
        <f aca="false">F13/F10</f>
        <v>0.907349303975355</v>
      </c>
      <c r="G14" s="31" t="n">
        <f aca="false">G13/G10</f>
        <v>0.902507894167688</v>
      </c>
      <c r="H14" s="31" t="n">
        <f aca="false">H13/H10</f>
        <v>0.900791253771977</v>
      </c>
      <c r="I14" s="31" t="n">
        <f aca="false">I13/I10</f>
        <v>0.899531060005287</v>
      </c>
      <c r="J14" s="31" t="n">
        <f aca="false">J13/J10</f>
        <v>0.898794305351007</v>
      </c>
      <c r="K14" s="3"/>
    </row>
    <row r="15" customFormat="false" ht="15" hidden="false" customHeight="false" outlineLevel="0" collapsed="false">
      <c r="A15" s="9" t="s">
        <v>165</v>
      </c>
      <c r="B15" s="12" t="s">
        <v>59</v>
      </c>
      <c r="C15" s="26" t="n">
        <f aca="false">Inputs!C15</f>
        <v>306.7</v>
      </c>
      <c r="D15" s="26" t="n">
        <f aca="false">Inputs!D15</f>
        <v>161.9</v>
      </c>
      <c r="E15" s="27" t="n">
        <f aca="false">E6*Inputs!E20/1000</f>
        <v>179.705</v>
      </c>
      <c r="F15" s="27" t="n">
        <f aca="false">D15+E15</f>
        <v>341.605</v>
      </c>
      <c r="G15" s="27" t="n">
        <f aca="false">G6*Inputs!G20/1000</f>
        <v>368.94</v>
      </c>
      <c r="H15" s="27" t="n">
        <f aca="false">H6*Inputs!H20/1000</f>
        <v>370.5</v>
      </c>
      <c r="I15" s="27" t="n">
        <f aca="false">I6*Inputs!I20/1000</f>
        <v>383.175</v>
      </c>
      <c r="J15" s="27" t="n">
        <f aca="false">J6*Inputs!J20/1000</f>
        <v>396</v>
      </c>
      <c r="K15" s="3"/>
    </row>
    <row r="16" customFormat="false" ht="15" hidden="false" customHeight="false" outlineLevel="0" collapsed="false">
      <c r="A16" s="9" t="s">
        <v>77</v>
      </c>
      <c r="B16" s="12" t="s">
        <v>59</v>
      </c>
      <c r="E16" s="26" t="n">
        <f aca="false">Inputs!E21</f>
        <v>14</v>
      </c>
      <c r="G16" s="26" t="n">
        <f aca="false">Inputs!G21</f>
        <v>30</v>
      </c>
      <c r="H16" s="26" t="n">
        <f aca="false">Inputs!H21</f>
        <v>30</v>
      </c>
      <c r="I16" s="26" t="n">
        <f aca="false">Inputs!I21</f>
        <v>30</v>
      </c>
      <c r="J16" s="26" t="n">
        <f aca="false">Inputs!J21</f>
        <v>30</v>
      </c>
      <c r="K16" s="3"/>
    </row>
    <row r="17" customFormat="false" ht="15" hidden="false" customHeight="false" outlineLevel="0" collapsed="false">
      <c r="A17" s="9" t="s">
        <v>166</v>
      </c>
      <c r="B17" s="12" t="s">
        <v>59</v>
      </c>
      <c r="E17" s="27" t="n">
        <f aca="false">E13-E15+E16</f>
        <v>876.307524</v>
      </c>
      <c r="G17" s="27" t="n">
        <f aca="false">G13-G15+G16</f>
        <v>1664.04992</v>
      </c>
      <c r="H17" s="27" t="n">
        <f aca="false">H13-H15+H16</f>
        <v>1552.08044</v>
      </c>
      <c r="I17" s="27" t="n">
        <f aca="false">I13-I15+I16</f>
        <v>1484.40504</v>
      </c>
      <c r="J17" s="27" t="n">
        <f aca="false">J13-J15+J16</f>
        <v>1464.844</v>
      </c>
      <c r="K17" s="3"/>
    </row>
    <row r="18" customFormat="false" ht="15" hidden="false" customHeight="false" outlineLevel="0" collapsed="false">
      <c r="A18" s="9" t="s">
        <v>167</v>
      </c>
      <c r="B18" s="12" t="s">
        <v>59</v>
      </c>
      <c r="E18" s="27" t="n">
        <f aca="false">E17*Inputs!$C$35</f>
        <v>192.78765528</v>
      </c>
      <c r="G18" s="27" t="n">
        <f aca="false">G17*Inputs!$C$35</f>
        <v>366.0909824</v>
      </c>
      <c r="H18" s="27" t="n">
        <f aca="false">H17*Inputs!$C$35</f>
        <v>341.4576968</v>
      </c>
      <c r="I18" s="27" t="n">
        <f aca="false">I17*Inputs!$C$35</f>
        <v>326.5691088</v>
      </c>
      <c r="J18" s="27" t="n">
        <f aca="false">J17*Inputs!$C$35</f>
        <v>322.26568</v>
      </c>
      <c r="K18" s="3"/>
    </row>
    <row r="19" customFormat="false" ht="15" hidden="false" customHeight="false" outlineLevel="0" collapsed="false">
      <c r="A19" s="4" t="s">
        <v>168</v>
      </c>
      <c r="B19" s="12" t="s">
        <v>59</v>
      </c>
      <c r="C19" s="30" t="n">
        <f aca="false">Inputs!C16</f>
        <v>1075.2</v>
      </c>
      <c r="D19" s="30" t="n">
        <f aca="false">Inputs!D16</f>
        <v>807.5</v>
      </c>
      <c r="E19" s="30" t="n">
        <f aca="false">E17-E18</f>
        <v>683.51986872</v>
      </c>
      <c r="F19" s="30" t="n">
        <f aca="false">D19+E19</f>
        <v>1491.01986872</v>
      </c>
      <c r="G19" s="30" t="n">
        <f aca="false">G17-G18</f>
        <v>1297.9589376</v>
      </c>
      <c r="H19" s="30" t="n">
        <f aca="false">H17-H18</f>
        <v>1210.6227432</v>
      </c>
      <c r="I19" s="30" t="n">
        <f aca="false">I17-I18</f>
        <v>1157.8359312</v>
      </c>
      <c r="J19" s="30" t="n">
        <f aca="false">J17-J18</f>
        <v>1142.57832</v>
      </c>
      <c r="K19" s="3"/>
    </row>
    <row r="20" customFormat="false" ht="15" hidden="false" customHeight="false" outlineLevel="0" collapsed="false">
      <c r="A20" s="9" t="s">
        <v>83</v>
      </c>
      <c r="B20" s="12" t="s">
        <v>84</v>
      </c>
      <c r="C20" s="26" t="n">
        <f aca="false">Inputs!C24</f>
        <v>192.7</v>
      </c>
      <c r="D20" s="26" t="n">
        <f aca="false">Inputs!D24</f>
        <v>192.8</v>
      </c>
      <c r="E20" s="26" t="n">
        <f aca="false">Inputs!E24</f>
        <v>193</v>
      </c>
      <c r="F20" s="26" t="n">
        <f aca="false">Inputs!F24</f>
        <v>193</v>
      </c>
      <c r="G20" s="26" t="n">
        <f aca="false">Inputs!G24</f>
        <v>193.4</v>
      </c>
      <c r="H20" s="26" t="n">
        <f aca="false">Inputs!H24</f>
        <v>193.8</v>
      </c>
      <c r="I20" s="26" t="n">
        <f aca="false">Inputs!I24</f>
        <v>194.2</v>
      </c>
      <c r="J20" s="26" t="n">
        <f aca="false">Inputs!J24</f>
        <v>194.6</v>
      </c>
      <c r="K20" s="3"/>
    </row>
    <row r="21" customFormat="false" ht="15" hidden="false" customHeight="false" outlineLevel="0" collapsed="false">
      <c r="A21" s="4" t="s">
        <v>169</v>
      </c>
      <c r="B21" s="12" t="s">
        <v>87</v>
      </c>
      <c r="C21" s="32" t="n">
        <f aca="false">C19/C20</f>
        <v>5.57965749870265</v>
      </c>
      <c r="D21" s="32" t="n">
        <f aca="false">D19/D20</f>
        <v>4.18827800829876</v>
      </c>
      <c r="E21" s="32" t="n">
        <f aca="false">E19/E20</f>
        <v>3.54155372393782</v>
      </c>
      <c r="F21" s="32" t="n">
        <f aca="false">F19/F20</f>
        <v>7.72549154777202</v>
      </c>
      <c r="G21" s="32" t="n">
        <f aca="false">G19/G20</f>
        <v>6.71126648190279</v>
      </c>
      <c r="H21" s="32" t="n">
        <f aca="false">H19/H20</f>
        <v>6.24676338080495</v>
      </c>
      <c r="I21" s="32" t="n">
        <f aca="false">I19/I20</f>
        <v>5.96207997528321</v>
      </c>
      <c r="J21" s="32" t="n">
        <f aca="false">J19/J20</f>
        <v>5.87141993833505</v>
      </c>
      <c r="K21" s="3"/>
    </row>
    <row r="22" customFormat="false" ht="15" hidden="false" customHeight="false" outlineLevel="0" collapsed="false">
      <c r="A22" s="14" t="s">
        <v>170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5" hidden="false" customHeight="false" outlineLevel="0" collapsed="false">
      <c r="A23" s="4" t="s">
        <v>171</v>
      </c>
      <c r="B23" s="12" t="s">
        <v>59</v>
      </c>
      <c r="C23" s="30" t="n">
        <f aca="false">Inputs!C17</f>
        <v>1493.7</v>
      </c>
      <c r="D23" s="30" t="n">
        <f aca="false">Inputs!D17</f>
        <v>1002.9</v>
      </c>
      <c r="E23" s="30" t="n">
        <f aca="false">E13+E16-Inputs!$C$47*E18</f>
        <v>901.782399776</v>
      </c>
      <c r="F23" s="30" t="n">
        <f aca="false">D23+E23</f>
        <v>1904.682399776</v>
      </c>
      <c r="G23" s="30" t="n">
        <f aca="false">G13+G16-Inputs!$C$47*G18</f>
        <v>1740.11713408</v>
      </c>
      <c r="H23" s="30" t="n">
        <f aca="false">H13+H16-Inputs!$C$47*H18</f>
        <v>1649.41428256</v>
      </c>
      <c r="I23" s="30" t="n">
        <f aca="false">I13+I16-Inputs!$C$47*I18</f>
        <v>1606.32475296</v>
      </c>
      <c r="J23" s="30" t="n">
        <f aca="false">J13+J16-Inputs!$C$47*J18</f>
        <v>1603.031456</v>
      </c>
      <c r="K23" s="3" t="s">
        <v>172</v>
      </c>
    </row>
    <row r="24" customFormat="false" ht="15" hidden="false" customHeight="false" outlineLevel="0" collapsed="false">
      <c r="A24" s="4" t="s">
        <v>173</v>
      </c>
      <c r="B24" s="12" t="s">
        <v>87</v>
      </c>
      <c r="C24" s="32" t="n">
        <f aca="false">C23/C20</f>
        <v>7.75142708873897</v>
      </c>
      <c r="D24" s="32" t="n">
        <f aca="false">D23/D20</f>
        <v>5.20176348547718</v>
      </c>
      <c r="E24" s="32" t="n">
        <f aca="false">E23/E20</f>
        <v>4.67244766723316</v>
      </c>
      <c r="F24" s="32" t="n">
        <f aca="false">F23/F20</f>
        <v>9.86882072422798</v>
      </c>
      <c r="G24" s="32" t="n">
        <f aca="false">G23/G20</f>
        <v>8.99750327859359</v>
      </c>
      <c r="H24" s="32" t="n">
        <f aca="false">H23/H20</f>
        <v>8.51090961073271</v>
      </c>
      <c r="I24" s="32" t="n">
        <f aca="false">I23/I20</f>
        <v>8.2714971831102</v>
      </c>
      <c r="J24" s="32" t="n">
        <f aca="false">J23/J20</f>
        <v>8.23757171634121</v>
      </c>
      <c r="K24" s="3"/>
    </row>
    <row r="25" customFormat="false" ht="15" hidden="false" customHeight="false" outlineLevel="0" collapsed="false">
      <c r="A25" s="9" t="s">
        <v>174</v>
      </c>
      <c r="B25" s="12" t="s">
        <v>59</v>
      </c>
      <c r="G25" s="27" t="n">
        <f aca="false">G23</f>
        <v>1740.11713408</v>
      </c>
      <c r="H25" s="27" t="n">
        <f aca="false">H23</f>
        <v>1649.41428256</v>
      </c>
      <c r="I25" s="27" t="n">
        <f aca="false">I23</f>
        <v>1606.32475296</v>
      </c>
      <c r="J25" s="27" t="n">
        <f aca="false">J23</f>
        <v>1603.031456</v>
      </c>
      <c r="K25" s="3" t="s">
        <v>175</v>
      </c>
    </row>
    <row r="26" customFormat="false" ht="15" hidden="false" customHeight="false" outlineLevel="0" collapsed="false">
      <c r="A26" s="9" t="s">
        <v>86</v>
      </c>
      <c r="B26" s="12" t="s">
        <v>87</v>
      </c>
      <c r="C26" s="33" t="n">
        <f aca="false">Inputs!C25</f>
        <v>1.52</v>
      </c>
      <c r="D26" s="33" t="n">
        <f aca="false">Inputs!D25</f>
        <v>0.88</v>
      </c>
      <c r="E26" s="33" t="n">
        <f aca="false">Inputs!E25</f>
        <v>0.88</v>
      </c>
      <c r="F26" s="34" t="n">
        <f aca="false">D26+E26</f>
        <v>1.76</v>
      </c>
      <c r="G26" s="33" t="n">
        <f aca="false">Inputs!G25</f>
        <v>1.92</v>
      </c>
      <c r="H26" s="33" t="n">
        <f aca="false">Inputs!H25</f>
        <v>2.08</v>
      </c>
      <c r="I26" s="33" t="n">
        <f aca="false">Inputs!I25</f>
        <v>2.24</v>
      </c>
      <c r="J26" s="33" t="n">
        <f aca="false">Inputs!J25</f>
        <v>2.4</v>
      </c>
      <c r="K26" s="3"/>
    </row>
    <row r="27" customFormat="false" ht="15" hidden="false" customHeight="false" outlineLevel="0" collapsed="false">
      <c r="A27" s="9" t="s">
        <v>176</v>
      </c>
      <c r="B27" s="12" t="s">
        <v>59</v>
      </c>
      <c r="E27" s="27" t="n">
        <f aca="false">E26*E20</f>
        <v>169.84</v>
      </c>
      <c r="G27" s="27" t="n">
        <f aca="false">G26*G20</f>
        <v>371.328</v>
      </c>
      <c r="H27" s="27" t="n">
        <f aca="false">H26*H20</f>
        <v>403.104</v>
      </c>
      <c r="I27" s="27" t="n">
        <f aca="false">I26*I20</f>
        <v>435.008</v>
      </c>
      <c r="J27" s="27" t="n">
        <f aca="false">J26*J20</f>
        <v>467.04</v>
      </c>
      <c r="K27" s="3"/>
    </row>
    <row r="28" customFormat="false" ht="15" hidden="false" customHeight="false" outlineLevel="0" collapsed="false">
      <c r="A28" s="9" t="s">
        <v>177</v>
      </c>
      <c r="B28" s="12" t="s">
        <v>59</v>
      </c>
      <c r="E28" s="26" t="n">
        <f aca="false">Inputs!E23</f>
        <v>60</v>
      </c>
      <c r="G28" s="26" t="n">
        <f aca="false">Inputs!G23</f>
        <v>500</v>
      </c>
      <c r="H28" s="26" t="n">
        <f aca="false">Inputs!H23</f>
        <v>500</v>
      </c>
      <c r="I28" s="26" t="n">
        <f aca="false">Inputs!I23</f>
        <v>500</v>
      </c>
      <c r="J28" s="26" t="n">
        <f aca="false">Inputs!J23</f>
        <v>500</v>
      </c>
      <c r="K28" s="3" t="s">
        <v>178</v>
      </c>
    </row>
    <row r="29" customFormat="false" ht="15" hidden="false" customHeight="false" outlineLevel="0" collapsed="false">
      <c r="A29" s="14" t="s">
        <v>121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customFormat="false" ht="15" hidden="false" customHeight="false" outlineLevel="0" collapsed="false">
      <c r="A30" s="4" t="s">
        <v>179</v>
      </c>
      <c r="B30" s="12" t="s">
        <v>59</v>
      </c>
      <c r="C30" s="30" t="n">
        <f aca="false">Inputs!C18</f>
        <v>670.9</v>
      </c>
      <c r="D30" s="30" t="n">
        <f aca="false">Inputs!D18</f>
        <v>1014.2</v>
      </c>
      <c r="E30" s="30" t="n">
        <f aca="false">D30+E23-E27-E28</f>
        <v>1686.142399776</v>
      </c>
      <c r="F30" s="30" t="n">
        <f aca="false">E30</f>
        <v>1686.142399776</v>
      </c>
      <c r="G30" s="30" t="n">
        <f aca="false">F30+G23-G27-G28</f>
        <v>2554.931533856</v>
      </c>
      <c r="H30" s="30" t="n">
        <f aca="false">G30+H23-H27-H28</f>
        <v>3301.241816416</v>
      </c>
      <c r="I30" s="30" t="n">
        <f aca="false">H30+I23-I27-I28</f>
        <v>3972.558569376</v>
      </c>
      <c r="J30" s="30" t="n">
        <f aca="false">I30+J23-J27-J28</f>
        <v>4608.550025376</v>
      </c>
      <c r="K30" s="3"/>
    </row>
    <row r="31" customFormat="false" ht="15" hidden="false" customHeight="false" outlineLevel="0" collapsed="false">
      <c r="A31" s="9" t="s">
        <v>180</v>
      </c>
      <c r="B31" s="12" t="s">
        <v>59</v>
      </c>
      <c r="C31" s="27" t="n">
        <f aca="false">-C30</f>
        <v>-670.9</v>
      </c>
      <c r="D31" s="27" t="n">
        <f aca="false">-D30</f>
        <v>-1014.2</v>
      </c>
      <c r="E31" s="27" t="n">
        <f aca="false">-E30</f>
        <v>-1686.142399776</v>
      </c>
      <c r="F31" s="27" t="n">
        <f aca="false">-F30</f>
        <v>-1686.142399776</v>
      </c>
      <c r="G31" s="27" t="n">
        <f aca="false">-G30</f>
        <v>-2554.931533856</v>
      </c>
      <c r="H31" s="27" t="n">
        <f aca="false">-H30</f>
        <v>-3301.241816416</v>
      </c>
      <c r="I31" s="27" t="n">
        <f aca="false">-I30</f>
        <v>-3972.558569376</v>
      </c>
      <c r="J31" s="27" t="n">
        <f aca="false">-J30</f>
        <v>-4608.550025376</v>
      </c>
      <c r="K31" s="3" t="s">
        <v>181</v>
      </c>
    </row>
    <row r="32" customFormat="false" ht="15" hidden="false" customHeight="false" outlineLevel="0" collapsed="false">
      <c r="A32" s="9" t="s">
        <v>182</v>
      </c>
      <c r="B32" s="12" t="s">
        <v>59</v>
      </c>
      <c r="C32" s="26" t="n">
        <f aca="false">Inputs!C19</f>
        <v>7635.3</v>
      </c>
      <c r="D32" s="26" t="n">
        <f aca="false">Inputs!D19</f>
        <v>8240.7</v>
      </c>
      <c r="E32" s="27" t="n">
        <f aca="false">D32+E19-E27</f>
        <v>8754.37986872</v>
      </c>
      <c r="F32" s="27" t="n">
        <f aca="false">E32</f>
        <v>8754.37986872</v>
      </c>
      <c r="G32" s="27" t="n">
        <f aca="false">F32+G19-G27</f>
        <v>9681.01080632</v>
      </c>
      <c r="H32" s="27" t="n">
        <f aca="false">G32+H19-H27</f>
        <v>10488.52954952</v>
      </c>
      <c r="I32" s="27" t="n">
        <f aca="false">H32+I19-I27</f>
        <v>11211.35748072</v>
      </c>
      <c r="J32" s="27" t="n">
        <f aca="false">I32+J19-J27</f>
        <v>11886.89580072</v>
      </c>
      <c r="K32" s="3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5" min="4" style="0" width="12"/>
  </cols>
  <sheetData>
    <row r="1" customFormat="false" ht="17.35" hidden="false" customHeight="false" outlineLevel="0" collapsed="false">
      <c r="A1" s="13" t="s">
        <v>184</v>
      </c>
    </row>
    <row r="2" customFormat="false" ht="15" hidden="false" customHeight="false" outlineLevel="0" collapsed="false">
      <c r="A2" s="3" t="s">
        <v>185</v>
      </c>
    </row>
    <row r="4" customFormat="false" ht="15" hidden="false" customHeight="false" outlineLevel="0" collapsed="false">
      <c r="A4" s="14" t="s">
        <v>186</v>
      </c>
      <c r="B4" s="15"/>
      <c r="C4" s="15"/>
    </row>
    <row r="5" customFormat="false" ht="15" hidden="false" customHeight="false" outlineLevel="0" collapsed="false">
      <c r="A5" s="12" t="s">
        <v>187</v>
      </c>
      <c r="B5" s="33" t="n">
        <f aca="false">Inputs!$C$29</f>
        <v>230.76</v>
      </c>
      <c r="C5" s="3" t="s">
        <v>92</v>
      </c>
    </row>
    <row r="6" customFormat="false" ht="15" hidden="false" customHeight="false" outlineLevel="0" collapsed="false">
      <c r="A6" s="12" t="s">
        <v>188</v>
      </c>
      <c r="B6" s="34" t="n">
        <f aca="false">Inputs!$C$29*Inputs!$C$30</f>
        <v>230.76</v>
      </c>
      <c r="C6" s="3" t="s">
        <v>189</v>
      </c>
    </row>
    <row r="7" customFormat="false" ht="15" hidden="false" customHeight="false" outlineLevel="0" collapsed="false">
      <c r="A7" s="12" t="s">
        <v>190</v>
      </c>
      <c r="B7" s="26" t="n">
        <f aca="false">Inputs!$C$31</f>
        <v>192.9</v>
      </c>
      <c r="C7" s="3"/>
    </row>
    <row r="8" customFormat="false" ht="15" hidden="false" customHeight="false" outlineLevel="0" collapsed="false">
      <c r="A8" s="12" t="s">
        <v>191</v>
      </c>
      <c r="B8" s="29" t="n">
        <f aca="false">Valuation!$B$6*Valuation!$B$7</f>
        <v>44513.604</v>
      </c>
      <c r="C8" s="3"/>
    </row>
    <row r="9" customFormat="false" ht="15" hidden="false" customHeight="false" outlineLevel="0" collapsed="false">
      <c r="A9" s="12" t="s">
        <v>192</v>
      </c>
      <c r="B9" s="28" t="n">
        <f aca="false">Inputs!$C$32</f>
        <v>-1014.2</v>
      </c>
      <c r="C9" s="3" t="s">
        <v>193</v>
      </c>
    </row>
    <row r="10" customFormat="false" ht="15" hidden="false" customHeight="false" outlineLevel="0" collapsed="false">
      <c r="A10" s="12" t="s">
        <v>194</v>
      </c>
      <c r="B10" s="35" t="n">
        <f aca="false">Valuation!$B$8+Valuation!$B$9</f>
        <v>43499.404</v>
      </c>
      <c r="C10" s="3" t="s">
        <v>195</v>
      </c>
    </row>
    <row r="12" customFormat="false" ht="15" hidden="false" customHeight="false" outlineLevel="0" collapsed="false">
      <c r="A12" s="14" t="s">
        <v>196</v>
      </c>
      <c r="B12" s="15"/>
      <c r="C12" s="15"/>
    </row>
    <row r="13" customFormat="false" ht="15" hidden="false" customHeight="false" outlineLevel="0" collapsed="false">
      <c r="A13" s="12" t="s">
        <v>197</v>
      </c>
      <c r="B13" s="36" t="n">
        <f aca="false">Inputs!$C$59</f>
        <v>0.0497</v>
      </c>
      <c r="C13" s="3" t="s">
        <v>198</v>
      </c>
    </row>
    <row r="14" customFormat="false" ht="15" hidden="false" customHeight="false" outlineLevel="0" collapsed="false">
      <c r="A14" s="12" t="s">
        <v>99</v>
      </c>
      <c r="B14" s="33" t="n">
        <f aca="false">Inputs!$C$33</f>
        <v>0.58</v>
      </c>
      <c r="C14" s="3" t="s">
        <v>100</v>
      </c>
    </row>
    <row r="15" customFormat="false" ht="15" hidden="false" customHeight="false" outlineLevel="0" collapsed="false">
      <c r="A15" s="12" t="s">
        <v>149</v>
      </c>
      <c r="B15" s="36" t="n">
        <f aca="false">Inputs!$C$60</f>
        <v>0.05</v>
      </c>
      <c r="C15" s="3" t="s">
        <v>198</v>
      </c>
    </row>
    <row r="16" customFormat="false" ht="15" hidden="false" customHeight="false" outlineLevel="0" collapsed="false">
      <c r="A16" s="12" t="s">
        <v>199</v>
      </c>
      <c r="B16" s="37" t="n">
        <f aca="false">Valuation!$B$13+Valuation!$B$14*Valuation!$B$15</f>
        <v>0.0787</v>
      </c>
      <c r="C16" s="3" t="s">
        <v>200</v>
      </c>
    </row>
    <row r="17" customFormat="false" ht="15" hidden="false" customHeight="false" outlineLevel="0" collapsed="false">
      <c r="A17" s="12" t="s">
        <v>101</v>
      </c>
      <c r="B17" s="36" t="n">
        <f aca="false">Inputs!$C$34</f>
        <v>0.055</v>
      </c>
      <c r="C17" s="3" t="s">
        <v>102</v>
      </c>
    </row>
    <row r="18" customFormat="false" ht="15" hidden="false" customHeight="false" outlineLevel="0" collapsed="false">
      <c r="A18" s="12" t="s">
        <v>201</v>
      </c>
      <c r="B18" s="36" t="n">
        <f aca="false">Inputs!$C$35</f>
        <v>0.22</v>
      </c>
      <c r="C18" s="3"/>
    </row>
    <row r="19" customFormat="false" ht="15" hidden="false" customHeight="false" outlineLevel="0" collapsed="false">
      <c r="A19" s="12" t="s">
        <v>202</v>
      </c>
      <c r="B19" s="37" t="n">
        <f aca="false">Inputs!$C$36/(Inputs!$C$36+Valuation!$B$8)</f>
        <v>0</v>
      </c>
      <c r="C19" s="3" t="s">
        <v>203</v>
      </c>
    </row>
    <row r="20" customFormat="false" ht="15" hidden="false" customHeight="false" outlineLevel="0" collapsed="false">
      <c r="A20" s="12" t="s">
        <v>204</v>
      </c>
      <c r="B20" s="37" t="n">
        <f aca="false">Valuation!$B$16*(1-Valuation!$B$19)+Valuation!$B$17*(1-Valuation!$B$18)*Valuation!$B$19</f>
        <v>0.0787</v>
      </c>
      <c r="C20" s="3" t="s">
        <v>205</v>
      </c>
    </row>
    <row r="22" customFormat="false" ht="15" hidden="false" customHeight="false" outlineLevel="0" collapsed="false">
      <c r="A22" s="14" t="s">
        <v>206</v>
      </c>
      <c r="B22" s="15"/>
      <c r="C22" s="15"/>
    </row>
    <row r="23" customFormat="false" ht="15" hidden="false" customHeight="false" outlineLevel="0" collapsed="false">
      <c r="A23" s="12" t="s">
        <v>207</v>
      </c>
      <c r="B23" s="34" t="n">
        <f aca="false">NAV!$B$22</f>
        <v>138.880878434571</v>
      </c>
      <c r="C23" s="3"/>
    </row>
    <row r="24" customFormat="false" ht="15" hidden="false" customHeight="false" outlineLevel="0" collapsed="false">
      <c r="A24" s="12" t="s">
        <v>208</v>
      </c>
      <c r="B24" s="38" t="n">
        <f aca="false">Inputs!$C$38</f>
        <v>2</v>
      </c>
      <c r="C24" s="3" t="s">
        <v>109</v>
      </c>
    </row>
    <row r="25" customFormat="false" ht="15" hidden="false" customHeight="false" outlineLevel="0" collapsed="false">
      <c r="A25" s="12" t="s">
        <v>209</v>
      </c>
      <c r="B25" s="39" t="n">
        <f aca="false">Valuation!$B$23*Valuation!$B$24</f>
        <v>277.761756869142</v>
      </c>
      <c r="C25" s="3"/>
    </row>
    <row r="26" customFormat="false" ht="15" hidden="false" customHeight="false" outlineLevel="0" collapsed="false">
      <c r="A26" s="12" t="s">
        <v>210</v>
      </c>
      <c r="B26" s="33" t="n">
        <f aca="false">Model!$G$24</f>
        <v>8.99750327859359</v>
      </c>
      <c r="C26" s="3"/>
    </row>
    <row r="27" customFormat="false" ht="15" hidden="false" customHeight="false" outlineLevel="0" collapsed="false">
      <c r="A27" s="12" t="s">
        <v>211</v>
      </c>
      <c r="B27" s="38" t="n">
        <f aca="false">Inputs!$C$39</f>
        <v>25</v>
      </c>
      <c r="C27" s="3" t="s">
        <v>111</v>
      </c>
    </row>
    <row r="28" customFormat="false" ht="15" hidden="false" customHeight="false" outlineLevel="0" collapsed="false">
      <c r="A28" s="12" t="s">
        <v>212</v>
      </c>
      <c r="B28" s="39" t="n">
        <f aca="false">Valuation!$B$26*Valuation!$B$27</f>
        <v>224.93758196484</v>
      </c>
      <c r="C28" s="3"/>
    </row>
    <row r="29" customFormat="false" ht="15" hidden="false" customHeight="false" outlineLevel="0" collapsed="false">
      <c r="A29" s="14" t="s">
        <v>213</v>
      </c>
      <c r="B29" s="15"/>
      <c r="C29" s="15"/>
    </row>
    <row r="30" customFormat="false" ht="15" hidden="false" customHeight="false" outlineLevel="0" collapsed="false">
      <c r="A30" s="12" t="s">
        <v>214</v>
      </c>
      <c r="B30" s="36" t="n">
        <f aca="false">Inputs!$C$37</f>
        <v>0.5</v>
      </c>
      <c r="C30" s="3"/>
    </row>
    <row r="31" customFormat="false" ht="15" hidden="false" customHeight="false" outlineLevel="0" collapsed="false">
      <c r="A31" s="12" t="s">
        <v>215</v>
      </c>
      <c r="B31" s="31" t="n">
        <f aca="false">1-Inputs!$C$37</f>
        <v>0.5</v>
      </c>
      <c r="C31" s="3"/>
    </row>
    <row r="32" customFormat="false" ht="15" hidden="false" customHeight="false" outlineLevel="0" collapsed="false">
      <c r="A32" s="12" t="s">
        <v>216</v>
      </c>
      <c r="B32" s="39" t="n">
        <f aca="false">Valuation!$B$30*Valuation!$B$25+Valuation!$B$31*Valuation!$B$28</f>
        <v>251.349669416991</v>
      </c>
      <c r="C32" s="3"/>
    </row>
    <row r="33" customFormat="false" ht="15" hidden="false" customHeight="false" outlineLevel="0" collapsed="false">
      <c r="A33" s="12" t="s">
        <v>216</v>
      </c>
      <c r="B33" s="39" t="n">
        <f aca="false">Valuation!$B$32/Inputs!$C$30</f>
        <v>251.349669416991</v>
      </c>
      <c r="C33" s="3" t="s">
        <v>217</v>
      </c>
    </row>
    <row r="34" customFormat="false" ht="15" hidden="false" customHeight="false" outlineLevel="0" collapsed="false">
      <c r="A34" s="12" t="s">
        <v>218</v>
      </c>
      <c r="B34" s="40" t="n">
        <f aca="false">MROUND(Valuation!$B$33,Inputs!$C$41)</f>
        <v>250</v>
      </c>
      <c r="C34" s="3" t="s">
        <v>219</v>
      </c>
    </row>
    <row r="35" customFormat="false" ht="15" hidden="false" customHeight="false" outlineLevel="0" collapsed="false">
      <c r="A35" s="12" t="s">
        <v>220</v>
      </c>
      <c r="B35" s="33" t="n">
        <f aca="false">Inputs!$C$40</f>
        <v>1.76</v>
      </c>
      <c r="C35" s="3" t="s">
        <v>113</v>
      </c>
    </row>
    <row r="36" customFormat="false" ht="15" hidden="false" customHeight="false" outlineLevel="0" collapsed="false">
      <c r="A36" s="12" t="s">
        <v>221</v>
      </c>
      <c r="B36" s="37" t="n">
        <f aca="false">Valuation!$B$34/Valuation!$B$5-1</f>
        <v>0.0833766684000694</v>
      </c>
      <c r="C36" s="3"/>
    </row>
    <row r="37" customFormat="false" ht="15" hidden="false" customHeight="false" outlineLevel="0" collapsed="false">
      <c r="A37" s="12" t="s">
        <v>222</v>
      </c>
      <c r="B37" s="37" t="n">
        <f aca="false">Valuation!$B$35/Valuation!$B$5</f>
        <v>0.00762697174553649</v>
      </c>
      <c r="C37" s="3"/>
    </row>
    <row r="38" customFormat="false" ht="15" hidden="false" customHeight="false" outlineLevel="0" collapsed="false">
      <c r="A38" s="12" t="s">
        <v>6</v>
      </c>
      <c r="B38" s="37" t="n">
        <f aca="false">Valuation!$B$36+Valuation!$B$37</f>
        <v>0.0910036401456059</v>
      </c>
      <c r="C38" s="3" t="s">
        <v>223</v>
      </c>
    </row>
    <row r="39" customFormat="false" ht="15" hidden="false" customHeight="false" outlineLevel="0" collapsed="false">
      <c r="A39" s="12" t="s">
        <v>3</v>
      </c>
      <c r="B39" s="41" t="str">
        <f aca="false">IF(Valuation!$B$38&gt;Inputs!$C$42,"Buy",IF(Valuation!$B$38&gt;=0,"Hold","Sell"))</f>
        <v>Hold</v>
      </c>
      <c r="C39" s="3"/>
    </row>
    <row r="41" customFormat="false" ht="15" hidden="false" customHeight="false" outlineLevel="0" collapsed="false">
      <c r="A41" s="14" t="s">
        <v>224</v>
      </c>
      <c r="B41" s="15"/>
      <c r="C41" s="15"/>
    </row>
    <row r="42" customFormat="false" ht="15" hidden="false" customHeight="false" outlineLevel="0" collapsed="false">
      <c r="A42" s="3" t="s">
        <v>225</v>
      </c>
    </row>
    <row r="43" customFormat="false" ht="15" hidden="false" customHeight="false" outlineLevel="0" collapsed="false">
      <c r="A43" s="4" t="s">
        <v>226</v>
      </c>
      <c r="B43" s="4" t="s">
        <v>46</v>
      </c>
      <c r="C43" s="4" t="s">
        <v>47</v>
      </c>
      <c r="D43" s="4" t="s">
        <v>48</v>
      </c>
      <c r="E43" s="4" t="s">
        <v>49</v>
      </c>
    </row>
    <row r="44" customFormat="false" ht="15" hidden="false" customHeight="false" outlineLevel="0" collapsed="false">
      <c r="A44" s="12" t="s">
        <v>227</v>
      </c>
      <c r="B44" s="42" t="n">
        <f aca="false">Model!$G$25</f>
        <v>1740.11713408</v>
      </c>
      <c r="C44" s="42" t="n">
        <f aca="false">Model!$H$25</f>
        <v>1649.41428256</v>
      </c>
      <c r="D44" s="42" t="n">
        <f aca="false">Model!$I$25</f>
        <v>1606.32475296</v>
      </c>
      <c r="E44" s="42" t="n">
        <f aca="false">Model!$J$25</f>
        <v>1603.031456</v>
      </c>
    </row>
    <row r="45" customFormat="false" ht="15" hidden="false" customHeight="false" outlineLevel="0" collapsed="false">
      <c r="A45" s="12" t="s">
        <v>228</v>
      </c>
      <c r="B45" s="43" t="n">
        <f aca="false">1/(1+Valuation!$B$20)^1</f>
        <v>0.927041809585612</v>
      </c>
      <c r="C45" s="43" t="n">
        <f aca="false">1/(1+Valuation!$B$20)^2</f>
        <v>0.859406516719767</v>
      </c>
      <c r="D45" s="43" t="n">
        <f aca="false">1/(1+Valuation!$B$20)^3</f>
        <v>0.79670577242956</v>
      </c>
      <c r="E45" s="43" t="n">
        <f aca="false">1/(1+Valuation!$B$20)^4</f>
        <v>0.738579560980403</v>
      </c>
    </row>
    <row r="46" customFormat="false" ht="15" hidden="false" customHeight="false" outlineLevel="0" collapsed="false">
      <c r="A46" s="12" t="s">
        <v>229</v>
      </c>
      <c r="B46" s="44" t="n">
        <f aca="false">B44*B45</f>
        <v>1613.16133686845</v>
      </c>
      <c r="C46" s="44" t="n">
        <f aca="false">C44*C45</f>
        <v>1417.51738320272</v>
      </c>
      <c r="D46" s="44" t="n">
        <f aca="false">D44*D45</f>
        <v>1279.76820307972</v>
      </c>
      <c r="E46" s="44" t="n">
        <f aca="false">E44*E45</f>
        <v>1183.96626901026</v>
      </c>
    </row>
    <row r="48" customFormat="false" ht="15" hidden="false" customHeight="false" outlineLevel="0" collapsed="false">
      <c r="A48" s="12" t="s">
        <v>230</v>
      </c>
      <c r="B48" s="36" t="n">
        <f aca="false">Inputs!$C$43</f>
        <v>0.02</v>
      </c>
      <c r="C48" s="3" t="s">
        <v>119</v>
      </c>
    </row>
    <row r="49" customFormat="false" ht="15" hidden="false" customHeight="false" outlineLevel="0" collapsed="false">
      <c r="A49" s="12" t="s">
        <v>231</v>
      </c>
      <c r="B49" s="29" t="n">
        <f aca="false">SUM(B46:E46)</f>
        <v>5494.41319216115</v>
      </c>
      <c r="C49" s="3"/>
    </row>
    <row r="50" customFormat="false" ht="15" hidden="false" customHeight="false" outlineLevel="0" collapsed="false">
      <c r="A50" s="12" t="s">
        <v>232</v>
      </c>
      <c r="B50" s="29" t="n">
        <f aca="false">E44*(1+Valuation!$B$48)/(Valuation!$B$20-Valuation!$B$48)</f>
        <v>27855.0610752981</v>
      </c>
      <c r="C50" s="3" t="s">
        <v>233</v>
      </c>
    </row>
    <row r="51" customFormat="false" ht="15" hidden="false" customHeight="false" outlineLevel="0" collapsed="false">
      <c r="A51" s="12" t="s">
        <v>234</v>
      </c>
      <c r="B51" s="35" t="n">
        <f aca="false">Valuation!$B$50*E45</f>
        <v>20573.178780076</v>
      </c>
      <c r="C51" s="3"/>
    </row>
    <row r="52" customFormat="false" ht="15" hidden="false" customHeight="false" outlineLevel="0" collapsed="false">
      <c r="A52" s="12" t="s">
        <v>235</v>
      </c>
      <c r="B52" s="35" t="n">
        <f aca="false">Valuation!$B$49+Valuation!$B$51</f>
        <v>26067.5919722371</v>
      </c>
      <c r="C52" s="3"/>
    </row>
    <row r="53" customFormat="false" ht="15" hidden="false" customHeight="false" outlineLevel="0" collapsed="false">
      <c r="A53" s="12" t="s">
        <v>236</v>
      </c>
      <c r="B53" s="28" t="n">
        <f aca="false">Model!$F$31</f>
        <v>-1686.142399776</v>
      </c>
      <c r="C53" s="3" t="s">
        <v>237</v>
      </c>
    </row>
    <row r="54" customFormat="false" ht="15" hidden="false" customHeight="false" outlineLevel="0" collapsed="false">
      <c r="A54" s="12" t="s">
        <v>238</v>
      </c>
      <c r="B54" s="28" t="n">
        <f aca="false">Inputs!$C$44</f>
        <v>1215.1</v>
      </c>
      <c r="C54" s="3"/>
    </row>
    <row r="55" customFormat="false" ht="15" hidden="false" customHeight="false" outlineLevel="0" collapsed="false">
      <c r="A55" s="12" t="s">
        <v>239</v>
      </c>
      <c r="B55" s="39" t="n">
        <f aca="false">(Valuation!$B$52-Valuation!$B$53+Valuation!$B$54)/Valuation!$B$7</f>
        <v>150.175398507067</v>
      </c>
      <c r="C55" s="3" t="s">
        <v>240</v>
      </c>
    </row>
    <row r="56" customFormat="false" ht="15" hidden="false" customHeight="false" outlineLevel="0" collapsed="false">
      <c r="A56" s="12" t="s">
        <v>241</v>
      </c>
      <c r="B56" s="37" t="n">
        <f aca="false">Valuation!$B$55/Valuation!$B$6-1</f>
        <v>-0.349213908359046</v>
      </c>
      <c r="C56" s="3"/>
    </row>
    <row r="57" customFormat="false" ht="15" hidden="false" customHeight="false" outlineLevel="0" collapsed="false">
      <c r="A57" s="12" t="s">
        <v>242</v>
      </c>
      <c r="B57" s="37" t="n">
        <f aca="false">Valuation!$B$51/Valuation!$B$52</f>
        <v>0.789224367252147</v>
      </c>
      <c r="C57" s="3" t="s">
        <v>243</v>
      </c>
    </row>
    <row r="59" customFormat="false" ht="15" hidden="false" customHeight="false" outlineLevel="0" collapsed="false">
      <c r="A59" s="14" t="s">
        <v>244</v>
      </c>
      <c r="B59" s="15"/>
      <c r="C59" s="15"/>
    </row>
    <row r="60" customFormat="false" ht="15" hidden="false" customHeight="false" outlineLevel="0" collapsed="false">
      <c r="A60" s="12" t="s">
        <v>245</v>
      </c>
      <c r="B60" s="33" t="n">
        <f aca="false">Model!$G$24</f>
        <v>8.99750327859359</v>
      </c>
      <c r="C60" s="3" t="s">
        <v>246</v>
      </c>
    </row>
    <row r="61" customFormat="false" ht="15" hidden="false" customHeight="false" outlineLevel="0" collapsed="false">
      <c r="A61" s="12" t="s">
        <v>247</v>
      </c>
      <c r="B61" s="37" t="n">
        <f aca="false">Valuation!$B$16-Valuation!$B$60/Valuation!$B$6</f>
        <v>0.0397092594964743</v>
      </c>
      <c r="C61" s="3" t="s">
        <v>248</v>
      </c>
    </row>
    <row r="63" customFormat="false" ht="15" hidden="false" customHeight="false" outlineLevel="0" collapsed="false">
      <c r="A63" s="14" t="s">
        <v>249</v>
      </c>
      <c r="B63" s="15"/>
      <c r="C63" s="15"/>
    </row>
    <row r="64" customFormat="false" ht="15" hidden="false" customHeight="false" outlineLevel="0" collapsed="false">
      <c r="A64" s="3" t="s">
        <v>250</v>
      </c>
    </row>
    <row r="65" customFormat="false" ht="15" hidden="false" customHeight="false" outlineLevel="0" collapsed="false">
      <c r="A65" s="4" t="s">
        <v>226</v>
      </c>
      <c r="B65" s="4" t="s">
        <v>46</v>
      </c>
      <c r="C65" s="4" t="s">
        <v>47</v>
      </c>
      <c r="D65" s="4" t="s">
        <v>48</v>
      </c>
      <c r="E65" s="4" t="s">
        <v>49</v>
      </c>
    </row>
    <row r="66" customFormat="false" ht="15" hidden="false" customHeight="false" outlineLevel="0" collapsed="false">
      <c r="A66" s="12" t="s">
        <v>251</v>
      </c>
      <c r="B66" s="42" t="n">
        <f aca="false">Model!$G$19</f>
        <v>1297.9589376</v>
      </c>
      <c r="C66" s="42" t="n">
        <f aca="false">Model!$H$19</f>
        <v>1210.6227432</v>
      </c>
      <c r="D66" s="42" t="n">
        <f aca="false">Model!$I$19</f>
        <v>1157.8359312</v>
      </c>
      <c r="E66" s="42" t="n">
        <f aca="false">Model!$J$19</f>
        <v>1142.57832</v>
      </c>
    </row>
    <row r="67" customFormat="false" ht="15" hidden="false" customHeight="false" outlineLevel="0" collapsed="false">
      <c r="A67" s="12" t="s">
        <v>252</v>
      </c>
      <c r="B67" s="42" t="n">
        <f aca="false">Model!$F$32</f>
        <v>8754.37986872</v>
      </c>
      <c r="C67" s="42" t="n">
        <f aca="false">Model!$G$32</f>
        <v>9681.01080632</v>
      </c>
      <c r="D67" s="42" t="n">
        <f aca="false">Model!$H$32</f>
        <v>10488.52954952</v>
      </c>
      <c r="E67" s="42" t="n">
        <f aca="false">Model!$I$32</f>
        <v>11211.35748072</v>
      </c>
    </row>
    <row r="68" customFormat="false" ht="15" hidden="false" customHeight="false" outlineLevel="0" collapsed="false">
      <c r="A68" s="12" t="s">
        <v>253</v>
      </c>
      <c r="B68" s="44" t="n">
        <f aca="false">B66-Valuation!$B$16*B67</f>
        <v>608.989241931736</v>
      </c>
      <c r="C68" s="44" t="n">
        <f aca="false">C66-Valuation!$B$16*C67</f>
        <v>448.727192742616</v>
      </c>
      <c r="D68" s="44" t="n">
        <f aca="false">D66-Valuation!$B$16*D67</f>
        <v>332.388655652776</v>
      </c>
      <c r="E68" s="44" t="n">
        <f aca="false">E66-Valuation!$B$16*E67</f>
        <v>260.244486267336</v>
      </c>
    </row>
    <row r="69" customFormat="false" ht="15" hidden="false" customHeight="false" outlineLevel="0" collapsed="false">
      <c r="A69" s="12" t="s">
        <v>254</v>
      </c>
      <c r="B69" s="43" t="n">
        <f aca="false">1/(1+Valuation!$B$16)^1</f>
        <v>0.927041809585612</v>
      </c>
      <c r="C69" s="43" t="n">
        <f aca="false">1/(1+Valuation!$B$16)^2</f>
        <v>0.859406516719767</v>
      </c>
      <c r="D69" s="43" t="n">
        <f aca="false">1/(1+Valuation!$B$16)^3</f>
        <v>0.79670577242956</v>
      </c>
      <c r="E69" s="43" t="n">
        <f aca="false">1/(1+Valuation!$B$16)^4</f>
        <v>0.738579560980403</v>
      </c>
    </row>
    <row r="70" customFormat="false" ht="15" hidden="false" customHeight="false" outlineLevel="0" collapsed="false">
      <c r="A70" s="12" t="s">
        <v>255</v>
      </c>
      <c r="B70" s="44" t="n">
        <f aca="false">B68*B69</f>
        <v>564.558488858567</v>
      </c>
      <c r="C70" s="44" t="n">
        <f aca="false">C68*C69</f>
        <v>385.639073672371</v>
      </c>
      <c r="D70" s="44" t="n">
        <f aca="false">D68*D69</f>
        <v>264.815960648668</v>
      </c>
      <c r="E70" s="44" t="n">
        <f aca="false">E68*E69</f>
        <v>192.2112584149</v>
      </c>
    </row>
    <row r="72" customFormat="false" ht="15" hidden="false" customHeight="false" outlineLevel="0" collapsed="false">
      <c r="A72" s="12" t="s">
        <v>256</v>
      </c>
      <c r="B72" s="28" t="n">
        <f aca="false">Model!$F$32</f>
        <v>8754.37986872</v>
      </c>
      <c r="C72" s="3"/>
    </row>
    <row r="73" customFormat="false" ht="15" hidden="false" customHeight="false" outlineLevel="0" collapsed="false">
      <c r="A73" s="12" t="s">
        <v>257</v>
      </c>
      <c r="B73" s="29" t="n">
        <f aca="false">SUM(B70:E70)</f>
        <v>1407.22478159451</v>
      </c>
      <c r="C73" s="3"/>
    </row>
    <row r="74" customFormat="false" ht="15" hidden="false" customHeight="false" outlineLevel="0" collapsed="false">
      <c r="A74" s="12" t="s">
        <v>258</v>
      </c>
      <c r="B74" s="29" t="n">
        <f aca="false">E68/Valuation!$B$16*E69</f>
        <v>2442.32856943964</v>
      </c>
      <c r="C74" s="3"/>
    </row>
    <row r="75" customFormat="false" ht="15" hidden="false" customHeight="false" outlineLevel="0" collapsed="false">
      <c r="A75" s="12" t="s">
        <v>259</v>
      </c>
      <c r="B75" s="39" t="n">
        <f aca="false">(Valuation!$B$72+Valuation!$B$73+Valuation!$B$74)/Valuation!$B$7</f>
        <v>65.3392079821366</v>
      </c>
      <c r="C75" s="3" t="s">
        <v>260</v>
      </c>
    </row>
    <row r="76" customFormat="false" ht="15" hidden="false" customHeight="false" outlineLevel="0" collapsed="false">
      <c r="A76" s="14" t="s">
        <v>261</v>
      </c>
      <c r="B76" s="15"/>
      <c r="C76" s="15"/>
    </row>
    <row r="77" customFormat="false" ht="15" hidden="false" customHeight="false" outlineLevel="0" collapsed="false">
      <c r="A77" s="12" t="s">
        <v>262</v>
      </c>
      <c r="B77" s="31" t="n">
        <f aca="false">Model!$G$26/Model!$G$21</f>
        <v>0.286086091973454</v>
      </c>
      <c r="C77" s="3"/>
    </row>
    <row r="78" customFormat="false" ht="15" hidden="false" customHeight="false" outlineLevel="0" collapsed="false">
      <c r="A78" s="12" t="s">
        <v>263</v>
      </c>
      <c r="B78" s="31" t="n">
        <f aca="false">Model!$G$19/AVERAGE(Model!$F$32,Model!$G$32)</f>
        <v>0.140811655199402</v>
      </c>
      <c r="C78" s="3"/>
    </row>
    <row r="79" customFormat="false" ht="15" hidden="false" customHeight="false" outlineLevel="0" collapsed="false">
      <c r="A79" s="12" t="s">
        <v>264</v>
      </c>
      <c r="B79" s="37" t="n">
        <f aca="false">(1-Valuation!$B$77)*Valuation!$B$78</f>
        <v>0.100527399059092</v>
      </c>
      <c r="C79" s="3" t="s">
        <v>265</v>
      </c>
    </row>
    <row r="80" customFormat="false" ht="15" hidden="false" customHeight="false" outlineLevel="0" collapsed="false">
      <c r="A80" s="12" t="s">
        <v>266</v>
      </c>
      <c r="B80" s="45" t="str">
        <f aca="false">IF(Valuation!$B$16&gt;Valuation!$B$79,Valuation!$B$77/(Valuation!$B$16-Valuation!$B$79),"n/m")</f>
        <v>n/m</v>
      </c>
      <c r="C80" s="3" t="s">
        <v>267</v>
      </c>
    </row>
    <row r="81" customFormat="false" ht="15" hidden="false" customHeight="false" outlineLevel="0" collapsed="false">
      <c r="A81" s="12" t="s">
        <v>268</v>
      </c>
      <c r="B81" s="46" t="n">
        <f aca="false">Valuation!$B$6/Model!$G$21</f>
        <v>34.3839721790595</v>
      </c>
      <c r="C8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6" min="3" style="0" width="9"/>
  </cols>
  <sheetData>
    <row r="1" customFormat="false" ht="17.35" hidden="false" customHeight="false" outlineLevel="0" collapsed="false">
      <c r="A1" s="13" t="s">
        <v>269</v>
      </c>
    </row>
    <row r="2" customFormat="false" ht="15" hidden="false" customHeight="false" outlineLevel="0" collapsed="false">
      <c r="A2" s="3" t="s">
        <v>270</v>
      </c>
    </row>
    <row r="4" customFormat="false" ht="15" hidden="false" customHeight="false" outlineLevel="0" collapsed="false">
      <c r="A4" s="4" t="s">
        <v>226</v>
      </c>
      <c r="C4" s="4" t="n">
        <v>2027</v>
      </c>
      <c r="D4" s="4" t="n">
        <v>2028</v>
      </c>
      <c r="E4" s="4" t="n">
        <v>2029</v>
      </c>
      <c r="F4" s="4" t="n">
        <v>2030</v>
      </c>
      <c r="G4" s="4" t="n">
        <v>2031</v>
      </c>
      <c r="H4" s="4" t="n">
        <v>2032</v>
      </c>
      <c r="I4" s="4" t="n">
        <v>2033</v>
      </c>
      <c r="J4" s="4" t="n">
        <v>2034</v>
      </c>
      <c r="K4" s="4" t="n">
        <v>2035</v>
      </c>
      <c r="L4" s="4" t="n">
        <v>2036</v>
      </c>
      <c r="M4" s="4" t="n">
        <v>2037</v>
      </c>
      <c r="N4" s="4" t="n">
        <v>2038</v>
      </c>
      <c r="O4" s="4" t="n">
        <v>2039</v>
      </c>
      <c r="P4" s="4" t="n">
        <v>2040</v>
      </c>
      <c r="Q4" s="4" t="n">
        <v>2041</v>
      </c>
      <c r="R4" s="4" t="n">
        <v>2042</v>
      </c>
      <c r="S4" s="4" t="n">
        <v>2043</v>
      </c>
      <c r="T4" s="4" t="n">
        <v>2044</v>
      </c>
      <c r="U4" s="4" t="n">
        <v>2045</v>
      </c>
      <c r="V4" s="4" t="n">
        <v>2046</v>
      </c>
      <c r="W4" s="4" t="n">
        <v>2047</v>
      </c>
      <c r="X4" s="4" t="n">
        <v>2048</v>
      </c>
      <c r="Y4" s="4" t="n">
        <v>2049</v>
      </c>
      <c r="Z4" s="4" t="n">
        <v>2050</v>
      </c>
      <c r="AA4" s="4" t="n">
        <v>2051</v>
      </c>
      <c r="AB4" s="4" t="n">
        <v>2052</v>
      </c>
      <c r="AC4" s="4" t="n">
        <v>2053</v>
      </c>
      <c r="AD4" s="4" t="n">
        <v>2054</v>
      </c>
      <c r="AE4" s="4" t="n">
        <v>2055</v>
      </c>
      <c r="AF4" s="4" t="n">
        <v>2056</v>
      </c>
      <c r="AG4" s="4" t="n">
        <v>2057</v>
      </c>
      <c r="AH4" s="4" t="n">
        <v>2058</v>
      </c>
      <c r="AI4" s="4" t="n">
        <v>2059</v>
      </c>
      <c r="AJ4" s="4" t="n">
        <v>2060</v>
      </c>
    </row>
    <row r="5" customFormat="false" ht="15" hidden="false" customHeight="false" outlineLevel="0" collapsed="false">
      <c r="A5" s="12" t="s">
        <v>271</v>
      </c>
      <c r="B5" s="12" t="s">
        <v>56</v>
      </c>
      <c r="C5" s="26" t="n">
        <f aca="false">Model!$G$6</f>
        <v>572</v>
      </c>
      <c r="D5" s="26" t="n">
        <f aca="false">Model!$H$6</f>
        <v>570</v>
      </c>
      <c r="E5" s="26" t="n">
        <f aca="false">Model!$I$6</f>
        <v>585</v>
      </c>
      <c r="F5" s="26" t="n">
        <f aca="false">Model!$J$6</f>
        <v>600</v>
      </c>
      <c r="G5" s="47" t="n">
        <f aca="false">Inputs!$C$48</f>
        <v>600</v>
      </c>
      <c r="H5" s="47" t="n">
        <f aca="false">Inputs!$C$48</f>
        <v>600</v>
      </c>
      <c r="I5" s="47" t="n">
        <f aca="false">Inputs!$C$48</f>
        <v>600</v>
      </c>
      <c r="J5" s="47" t="n">
        <f aca="false">Inputs!$C$48</f>
        <v>600</v>
      </c>
      <c r="K5" s="47" t="n">
        <f aca="false">Inputs!$C$48</f>
        <v>600</v>
      </c>
      <c r="L5" s="47" t="n">
        <f aca="false">K5*(1-Inputs!$C$49)</f>
        <v>576</v>
      </c>
      <c r="M5" s="47" t="n">
        <f aca="false">L5*(1-Inputs!$C$49)</f>
        <v>552.96</v>
      </c>
      <c r="N5" s="47" t="n">
        <f aca="false">M5*(1-Inputs!$C$49)</f>
        <v>530.8416</v>
      </c>
      <c r="O5" s="47" t="n">
        <f aca="false">N5*(1-Inputs!$C$49)</f>
        <v>509.607936</v>
      </c>
      <c r="P5" s="47" t="n">
        <f aca="false">O5*(1-Inputs!$C$49)</f>
        <v>489.22361856</v>
      </c>
      <c r="Q5" s="47" t="n">
        <f aca="false">P5*(1-Inputs!$C$49)</f>
        <v>469.6546738176</v>
      </c>
      <c r="R5" s="47" t="n">
        <f aca="false">Q5*(1-Inputs!$C$49)</f>
        <v>450.868486864896</v>
      </c>
      <c r="S5" s="47" t="n">
        <f aca="false">R5*(1-Inputs!$C$49)</f>
        <v>432.8337473903</v>
      </c>
      <c r="T5" s="47" t="n">
        <f aca="false">S5*(1-Inputs!$C$49)</f>
        <v>415.520397494688</v>
      </c>
      <c r="U5" s="47" t="n">
        <f aca="false">T5*(1-Inputs!$C$49)</f>
        <v>398.899581594901</v>
      </c>
      <c r="V5" s="47" t="n">
        <f aca="false">U5*(1-Inputs!$C$49)</f>
        <v>382.943598331104</v>
      </c>
      <c r="W5" s="47" t="n">
        <f aca="false">V5*(1-Inputs!$C$49)</f>
        <v>367.62585439786</v>
      </c>
      <c r="X5" s="47" t="n">
        <f aca="false">W5*(1-Inputs!$C$49)</f>
        <v>352.920820221946</v>
      </c>
      <c r="Y5" s="47" t="n">
        <f aca="false">X5*(1-Inputs!$C$49)</f>
        <v>338.803987413068</v>
      </c>
      <c r="Z5" s="47" t="n">
        <f aca="false">Y5*(1-Inputs!$C$49)</f>
        <v>325.251827916545</v>
      </c>
      <c r="AA5" s="47" t="n">
        <f aca="false">Z5*(1-Inputs!$C$49)</f>
        <v>312.241754799883</v>
      </c>
      <c r="AB5" s="47" t="n">
        <f aca="false">AA5*(1-Inputs!$C$49)</f>
        <v>299.752084607888</v>
      </c>
      <c r="AC5" s="47" t="n">
        <f aca="false">AB5*(1-Inputs!$C$49)</f>
        <v>287.762001223573</v>
      </c>
      <c r="AD5" s="47" t="n">
        <f aca="false">AC5*(1-Inputs!$C$49)</f>
        <v>276.25152117463</v>
      </c>
      <c r="AE5" s="47" t="n">
        <f aca="false">AD5*(1-Inputs!$C$49)</f>
        <v>265.201460327644</v>
      </c>
      <c r="AF5" s="47" t="n">
        <f aca="false">AE5*(1-Inputs!$C$49)</f>
        <v>254.593401914539</v>
      </c>
      <c r="AG5" s="47" t="n">
        <f aca="false">AF5*(1-Inputs!$C$49)</f>
        <v>244.409665837957</v>
      </c>
      <c r="AH5" s="47" t="n">
        <f aca="false">AG5*(1-Inputs!$C$49)</f>
        <v>234.633279204439</v>
      </c>
      <c r="AI5" s="47" t="n">
        <f aca="false">AH5*(1-Inputs!$C$49)</f>
        <v>225.247948036261</v>
      </c>
      <c r="AJ5" s="47" t="n">
        <f aca="false">AI5*(1-Inputs!$C$49)</f>
        <v>216.238030114811</v>
      </c>
    </row>
    <row r="6" customFormat="false" ht="15" hidden="false" customHeight="false" outlineLevel="0" collapsed="false">
      <c r="A6" s="12" t="s">
        <v>272</v>
      </c>
      <c r="B6" s="12" t="s">
        <v>52</v>
      </c>
      <c r="C6" s="48" t="n">
        <f aca="false">Inputs!G6</f>
        <v>4000</v>
      </c>
      <c r="D6" s="48" t="n">
        <f aca="false">Inputs!H6</f>
        <v>3800</v>
      </c>
      <c r="E6" s="48" t="n">
        <f aca="false">Inputs!I6</f>
        <v>3600</v>
      </c>
      <c r="F6" s="48" t="n">
        <f aca="false">Inputs!J6</f>
        <v>3500</v>
      </c>
      <c r="G6" s="48" t="n">
        <f aca="false">Inputs!$C$58</f>
        <v>3500</v>
      </c>
      <c r="H6" s="48" t="n">
        <f aca="false">Inputs!$C$58</f>
        <v>3500</v>
      </c>
      <c r="I6" s="48" t="n">
        <f aca="false">Inputs!$C$58</f>
        <v>3500</v>
      </c>
      <c r="J6" s="48" t="n">
        <f aca="false">Inputs!$C$58</f>
        <v>3500</v>
      </c>
      <c r="K6" s="48" t="n">
        <f aca="false">Inputs!$C$58</f>
        <v>3500</v>
      </c>
      <c r="L6" s="48" t="n">
        <f aca="false">Inputs!$C$58</f>
        <v>3500</v>
      </c>
      <c r="M6" s="48" t="n">
        <f aca="false">Inputs!$C$58</f>
        <v>3500</v>
      </c>
      <c r="N6" s="48" t="n">
        <f aca="false">Inputs!$C$58</f>
        <v>3500</v>
      </c>
      <c r="O6" s="48" t="n">
        <f aca="false">Inputs!$C$58</f>
        <v>3500</v>
      </c>
      <c r="P6" s="48" t="n">
        <f aca="false">Inputs!$C$58</f>
        <v>3500</v>
      </c>
      <c r="Q6" s="48" t="n">
        <f aca="false">Inputs!$C$58</f>
        <v>3500</v>
      </c>
      <c r="R6" s="48" t="n">
        <f aca="false">Inputs!$C$58</f>
        <v>3500</v>
      </c>
      <c r="S6" s="48" t="n">
        <f aca="false">Inputs!$C$58</f>
        <v>3500</v>
      </c>
      <c r="T6" s="48" t="n">
        <f aca="false">Inputs!$C$58</f>
        <v>3500</v>
      </c>
      <c r="U6" s="48" t="n">
        <f aca="false">Inputs!$C$58</f>
        <v>3500</v>
      </c>
      <c r="V6" s="48" t="n">
        <f aca="false">Inputs!$C$58</f>
        <v>3500</v>
      </c>
      <c r="W6" s="48" t="n">
        <f aca="false">Inputs!$C$58</f>
        <v>3500</v>
      </c>
      <c r="X6" s="48" t="n">
        <f aca="false">Inputs!$C$58</f>
        <v>3500</v>
      </c>
      <c r="Y6" s="48" t="n">
        <f aca="false">Inputs!$C$58</f>
        <v>3500</v>
      </c>
      <c r="Z6" s="48" t="n">
        <f aca="false">Inputs!$C$58</f>
        <v>3500</v>
      </c>
      <c r="AA6" s="48" t="n">
        <f aca="false">Inputs!$C$58</f>
        <v>3500</v>
      </c>
      <c r="AB6" s="48" t="n">
        <f aca="false">Inputs!$C$58</f>
        <v>3500</v>
      </c>
      <c r="AC6" s="48" t="n">
        <f aca="false">Inputs!$C$58</f>
        <v>3500</v>
      </c>
      <c r="AD6" s="48" t="n">
        <f aca="false">Inputs!$C$58</f>
        <v>3500</v>
      </c>
      <c r="AE6" s="48" t="n">
        <f aca="false">Inputs!$C$58</f>
        <v>3500</v>
      </c>
      <c r="AF6" s="48" t="n">
        <f aca="false">Inputs!$C$58</f>
        <v>3500</v>
      </c>
      <c r="AG6" s="48" t="n">
        <f aca="false">Inputs!$C$58</f>
        <v>3500</v>
      </c>
      <c r="AH6" s="48" t="n">
        <f aca="false">Inputs!$C$58</f>
        <v>3500</v>
      </c>
      <c r="AI6" s="48" t="n">
        <f aca="false">Inputs!$C$58</f>
        <v>3500</v>
      </c>
      <c r="AJ6" s="48" t="n">
        <f aca="false">Inputs!$C$58</f>
        <v>3500</v>
      </c>
    </row>
    <row r="7" customFormat="false" ht="15" hidden="false" customHeight="false" outlineLevel="0" collapsed="false">
      <c r="A7" s="12" t="s">
        <v>273</v>
      </c>
      <c r="B7" s="12" t="s">
        <v>59</v>
      </c>
      <c r="C7" s="48" t="n">
        <f aca="false">C5*C6*Inputs!$C$45/1000*(1-Inputs!$C$46)-Inputs!$C$50</f>
        <v>2004.24992</v>
      </c>
      <c r="D7" s="48" t="n">
        <f aca="false">D5*D6*Inputs!$C$45/1000*(1-Inputs!$C$46)-Inputs!$C$50</f>
        <v>1895.14044</v>
      </c>
      <c r="E7" s="48" t="n">
        <f aca="false">E5*E6*Inputs!$C$45/1000*(1-Inputs!$C$46)-Inputs!$C$50</f>
        <v>1841.48004</v>
      </c>
      <c r="F7" s="48" t="n">
        <f aca="false">F5*F6*Inputs!$C$45/1000*(1-Inputs!$C$46)-Inputs!$C$50</f>
        <v>1836.114</v>
      </c>
      <c r="G7" s="48" t="n">
        <f aca="false">G5*G6*Inputs!$C$45/1000*(1-Inputs!$C$46)-Inputs!$C$50</f>
        <v>1836.114</v>
      </c>
      <c r="H7" s="48" t="n">
        <f aca="false">H5*H6*Inputs!$C$45/1000*(1-Inputs!$C$46)-Inputs!$C$50</f>
        <v>1836.114</v>
      </c>
      <c r="I7" s="48" t="n">
        <f aca="false">I5*I6*Inputs!$C$45/1000*(1-Inputs!$C$46)-Inputs!$C$50</f>
        <v>1836.114</v>
      </c>
      <c r="J7" s="48" t="n">
        <f aca="false">J5*J6*Inputs!$C$45/1000*(1-Inputs!$C$46)-Inputs!$C$50</f>
        <v>1836.114</v>
      </c>
      <c r="K7" s="48" t="n">
        <f aca="false">K5*K6*Inputs!$C$45/1000*(1-Inputs!$C$46)-Inputs!$C$50</f>
        <v>1836.114</v>
      </c>
      <c r="L7" s="48" t="n">
        <f aca="false">L5*L6*Inputs!$C$45/1000*(1-Inputs!$C$46)-Inputs!$C$50</f>
        <v>1760.98944</v>
      </c>
      <c r="M7" s="48" t="n">
        <f aca="false">M5*M6*Inputs!$C$45/1000*(1-Inputs!$C$46)-Inputs!$C$50</f>
        <v>1688.8698624</v>
      </c>
      <c r="N7" s="48" t="n">
        <f aca="false">N5*N6*Inputs!$C$45/1000*(1-Inputs!$C$46)-Inputs!$C$50</f>
        <v>1619.635067904</v>
      </c>
      <c r="O7" s="48" t="n">
        <f aca="false">O5*O6*Inputs!$C$45/1000*(1-Inputs!$C$46)-Inputs!$C$50</f>
        <v>1553.16966518784</v>
      </c>
      <c r="P7" s="48" t="n">
        <f aca="false">P5*P6*Inputs!$C$45/1000*(1-Inputs!$C$46)-Inputs!$C$50</f>
        <v>1489.36287858033</v>
      </c>
      <c r="Q7" s="48" t="n">
        <f aca="false">Q5*Q6*Inputs!$C$45/1000*(1-Inputs!$C$46)-Inputs!$C$50</f>
        <v>1428.10836343711</v>
      </c>
      <c r="R7" s="48" t="n">
        <f aca="false">R5*R6*Inputs!$C$45/1000*(1-Inputs!$C$46)-Inputs!$C$50</f>
        <v>1369.30402889963</v>
      </c>
      <c r="S7" s="48" t="n">
        <f aca="false">S5*S6*Inputs!$C$45/1000*(1-Inputs!$C$46)-Inputs!$C$50</f>
        <v>1312.85186774364</v>
      </c>
      <c r="T7" s="48" t="n">
        <f aca="false">T5*T6*Inputs!$C$45/1000*(1-Inputs!$C$46)-Inputs!$C$50</f>
        <v>1258.6577930339</v>
      </c>
      <c r="U7" s="48" t="n">
        <f aca="false">U5*U6*Inputs!$C$45/1000*(1-Inputs!$C$46)-Inputs!$C$50</f>
        <v>1206.63148131254</v>
      </c>
      <c r="V7" s="48" t="n">
        <f aca="false">V5*V6*Inputs!$C$45/1000*(1-Inputs!$C$46)-Inputs!$C$50</f>
        <v>1156.68622206004</v>
      </c>
      <c r="W7" s="48" t="n">
        <f aca="false">W5*W6*Inputs!$C$45/1000*(1-Inputs!$C$46)-Inputs!$C$50</f>
        <v>1108.73877317764</v>
      </c>
      <c r="X7" s="48" t="n">
        <f aca="false">X5*X6*Inputs!$C$45/1000*(1-Inputs!$C$46)-Inputs!$C$50</f>
        <v>1062.70922225053</v>
      </c>
      <c r="Y7" s="48" t="n">
        <f aca="false">Y5*Y6*Inputs!$C$45/1000*(1-Inputs!$C$46)-Inputs!$C$50</f>
        <v>1018.52085336051</v>
      </c>
      <c r="Z7" s="48" t="n">
        <f aca="false">Z5*Z6*Inputs!$C$45/1000*(1-Inputs!$C$46)-Inputs!$C$50</f>
        <v>976.100019226091</v>
      </c>
      <c r="AA7" s="48" t="n">
        <f aca="false">AA5*AA6*Inputs!$C$45/1000*(1-Inputs!$C$46)-Inputs!$C$50</f>
        <v>935.376018457047</v>
      </c>
      <c r="AB7" s="48" t="n">
        <f aca="false">AB5*AB6*Inputs!$C$45/1000*(1-Inputs!$C$46)-Inputs!$C$50</f>
        <v>896.280977718765</v>
      </c>
      <c r="AC7" s="48" t="n">
        <f aca="false">AC5*AC6*Inputs!$C$45/1000*(1-Inputs!$C$46)-Inputs!$C$50</f>
        <v>858.749738610015</v>
      </c>
      <c r="AD7" s="48" t="n">
        <f aca="false">AD5*AD6*Inputs!$C$45/1000*(1-Inputs!$C$46)-Inputs!$C$50</f>
        <v>822.719749065614</v>
      </c>
      <c r="AE7" s="48" t="n">
        <f aca="false">AE5*AE6*Inputs!$C$45/1000*(1-Inputs!$C$46)-Inputs!$C$50</f>
        <v>788.130959102989</v>
      </c>
      <c r="AF7" s="48" t="n">
        <f aca="false">AF5*AF6*Inputs!$C$45/1000*(1-Inputs!$C$46)-Inputs!$C$50</f>
        <v>754.92572073887</v>
      </c>
      <c r="AG7" s="48" t="n">
        <f aca="false">AG5*AG6*Inputs!$C$45/1000*(1-Inputs!$C$46)-Inputs!$C$50</f>
        <v>723.048691909315</v>
      </c>
      <c r="AH7" s="48" t="n">
        <f aca="false">AH5*AH6*Inputs!$C$45/1000*(1-Inputs!$C$46)-Inputs!$C$50</f>
        <v>692.446744232942</v>
      </c>
      <c r="AI7" s="48" t="n">
        <f aca="false">AI5*AI6*Inputs!$C$45/1000*(1-Inputs!$C$46)-Inputs!$C$50</f>
        <v>663.068874463625</v>
      </c>
      <c r="AJ7" s="48" t="n">
        <f aca="false">AJ5*AJ6*Inputs!$C$45/1000*(1-Inputs!$C$46)-Inputs!$C$50</f>
        <v>634.86611948508</v>
      </c>
    </row>
    <row r="8" customFormat="false" ht="15" hidden="false" customHeight="false" outlineLevel="0" collapsed="false">
      <c r="A8" s="12" t="s">
        <v>274</v>
      </c>
      <c r="B8" s="12" t="s">
        <v>59</v>
      </c>
      <c r="C8" s="48" t="n">
        <f aca="false">C7*(1-Inputs!$C$51)</f>
        <v>1623.4424352</v>
      </c>
      <c r="D8" s="48" t="n">
        <f aca="false">D7*(1-Inputs!$C$51)</f>
        <v>1535.0637564</v>
      </c>
      <c r="E8" s="48" t="n">
        <f aca="false">E7*(1-Inputs!$C$51)</f>
        <v>1491.5988324</v>
      </c>
      <c r="F8" s="48" t="n">
        <f aca="false">F7*(1-Inputs!$C$51)</f>
        <v>1487.25234</v>
      </c>
      <c r="G8" s="48" t="n">
        <f aca="false">G7*(1-Inputs!$C$51)</f>
        <v>1487.25234</v>
      </c>
      <c r="H8" s="48" t="n">
        <f aca="false">H7*(1-Inputs!$C$51)</f>
        <v>1487.25234</v>
      </c>
      <c r="I8" s="48" t="n">
        <f aca="false">I7*(1-Inputs!$C$51)</f>
        <v>1487.25234</v>
      </c>
      <c r="J8" s="48" t="n">
        <f aca="false">J7*(1-Inputs!$C$51)</f>
        <v>1487.25234</v>
      </c>
      <c r="K8" s="48" t="n">
        <f aca="false">K7*(1-Inputs!$C$51)</f>
        <v>1487.25234</v>
      </c>
      <c r="L8" s="48" t="n">
        <f aca="false">L7*(1-Inputs!$C$51)</f>
        <v>1426.4014464</v>
      </c>
      <c r="M8" s="48" t="n">
        <f aca="false">M7*(1-Inputs!$C$51)</f>
        <v>1367.984588544</v>
      </c>
      <c r="N8" s="48" t="n">
        <f aca="false">N7*(1-Inputs!$C$51)</f>
        <v>1311.90440500224</v>
      </c>
      <c r="O8" s="48" t="n">
        <f aca="false">O7*(1-Inputs!$C$51)</f>
        <v>1258.06742880215</v>
      </c>
      <c r="P8" s="48" t="n">
        <f aca="false">P7*(1-Inputs!$C$51)</f>
        <v>1206.38393165006</v>
      </c>
      <c r="Q8" s="48" t="n">
        <f aca="false">Q7*(1-Inputs!$C$51)</f>
        <v>1156.76777438406</v>
      </c>
      <c r="R8" s="48" t="n">
        <f aca="false">R7*(1-Inputs!$C$51)</f>
        <v>1109.1362634087</v>
      </c>
      <c r="S8" s="48" t="n">
        <f aca="false">S7*(1-Inputs!$C$51)</f>
        <v>1063.41001287235</v>
      </c>
      <c r="T8" s="48" t="n">
        <f aca="false">T7*(1-Inputs!$C$51)</f>
        <v>1019.51281235746</v>
      </c>
      <c r="U8" s="48" t="n">
        <f aca="false">U7*(1-Inputs!$C$51)</f>
        <v>977.371499863159</v>
      </c>
      <c r="V8" s="48" t="n">
        <f aca="false">V7*(1-Inputs!$C$51)</f>
        <v>936.915839868632</v>
      </c>
      <c r="W8" s="48" t="n">
        <f aca="false">W7*(1-Inputs!$C$51)</f>
        <v>898.078406273887</v>
      </c>
      <c r="X8" s="48" t="n">
        <f aca="false">X7*(1-Inputs!$C$51)</f>
        <v>860.794470022932</v>
      </c>
      <c r="Y8" s="48" t="n">
        <f aca="false">Y7*(1-Inputs!$C$51)</f>
        <v>825.001891222014</v>
      </c>
      <c r="Z8" s="48" t="n">
        <f aca="false">Z7*(1-Inputs!$C$51)</f>
        <v>790.641015573134</v>
      </c>
      <c r="AA8" s="48" t="n">
        <f aca="false">AA7*(1-Inputs!$C$51)</f>
        <v>757.654574950208</v>
      </c>
      <c r="AB8" s="48" t="n">
        <f aca="false">AB7*(1-Inputs!$C$51)</f>
        <v>725.9875919522</v>
      </c>
      <c r="AC8" s="48" t="n">
        <f aca="false">AC7*(1-Inputs!$C$51)</f>
        <v>695.587288274112</v>
      </c>
      <c r="AD8" s="48" t="n">
        <f aca="false">AD7*(1-Inputs!$C$51)</f>
        <v>666.402996743147</v>
      </c>
      <c r="AE8" s="48" t="n">
        <f aca="false">AE7*(1-Inputs!$C$51)</f>
        <v>638.386076873421</v>
      </c>
      <c r="AF8" s="48" t="n">
        <f aca="false">AF7*(1-Inputs!$C$51)</f>
        <v>611.489833798485</v>
      </c>
      <c r="AG8" s="48" t="n">
        <f aca="false">AG7*(1-Inputs!$C$51)</f>
        <v>585.669440446545</v>
      </c>
      <c r="AH8" s="48" t="n">
        <f aca="false">AH7*(1-Inputs!$C$51)</f>
        <v>560.881862828683</v>
      </c>
      <c r="AI8" s="48" t="n">
        <f aca="false">AI7*(1-Inputs!$C$51)</f>
        <v>537.085788315536</v>
      </c>
      <c r="AJ8" s="48" t="n">
        <f aca="false">AJ7*(1-Inputs!$C$51)</f>
        <v>514.241556782914</v>
      </c>
    </row>
    <row r="9" customFormat="false" ht="15" hidden="false" customHeight="false" outlineLevel="0" collapsed="false">
      <c r="A9" s="12" t="s">
        <v>275</v>
      </c>
      <c r="B9" s="12"/>
      <c r="C9" s="49" t="n">
        <f aca="false">1/(1+Inputs!$C$52)^(2027-2026-0.5)</f>
        <v>0.975900072948533</v>
      </c>
      <c r="D9" s="49" t="n">
        <f aca="false">1/(1+Inputs!$C$52)^(2028-2026-0.5)</f>
        <v>0.929428640903365</v>
      </c>
      <c r="E9" s="49" t="n">
        <f aca="false">1/(1+Inputs!$C$52)^(2029-2026-0.5)</f>
        <v>0.885170134193681</v>
      </c>
      <c r="F9" s="49" t="n">
        <f aca="false">1/(1+Inputs!$C$52)^(2030-2026-0.5)</f>
        <v>0.843019175422553</v>
      </c>
      <c r="G9" s="49" t="n">
        <f aca="false">1/(1+Inputs!$C$52)^(2031-2026-0.5)</f>
        <v>0.802875405164336</v>
      </c>
      <c r="H9" s="49" t="n">
        <f aca="false">1/(1+Inputs!$C$52)^(2032-2026-0.5)</f>
        <v>0.764643243013654</v>
      </c>
      <c r="I9" s="49" t="n">
        <f aca="false">1/(1+Inputs!$C$52)^(2033-2026-0.5)</f>
        <v>0.728231660013003</v>
      </c>
      <c r="J9" s="49" t="n">
        <f aca="false">1/(1+Inputs!$C$52)^(2034-2026-0.5)</f>
        <v>0.693553961917146</v>
      </c>
      <c r="K9" s="49" t="n">
        <f aca="false">1/(1+Inputs!$C$52)^(2035-2026-0.5)</f>
        <v>0.660527582778234</v>
      </c>
      <c r="L9" s="49" t="n">
        <f aca="false">1/(1+Inputs!$C$52)^(2036-2026-0.5)</f>
        <v>0.629073888360223</v>
      </c>
      <c r="M9" s="49" t="n">
        <f aca="false">1/(1+Inputs!$C$52)^(2037-2026-0.5)</f>
        <v>0.599117988914498</v>
      </c>
      <c r="N9" s="49" t="n">
        <f aca="false">1/(1+Inputs!$C$52)^(2038-2026-0.5)</f>
        <v>0.570588560870951</v>
      </c>
      <c r="O9" s="49" t="n">
        <f aca="false">1/(1+Inputs!$C$52)^(2039-2026-0.5)</f>
        <v>0.543417677019953</v>
      </c>
      <c r="P9" s="49" t="n">
        <f aca="false">1/(1+Inputs!$C$52)^(2040-2026-0.5)</f>
        <v>0.517540644780908</v>
      </c>
      <c r="Q9" s="49" t="n">
        <f aca="false">1/(1+Inputs!$C$52)^(2041-2026-0.5)</f>
        <v>0.492895852172293</v>
      </c>
      <c r="R9" s="49" t="n">
        <f aca="false">1/(1+Inputs!$C$52)^(2042-2026-0.5)</f>
        <v>0.469424621116469</v>
      </c>
      <c r="S9" s="49" t="n">
        <f aca="false">1/(1+Inputs!$C$52)^(2043-2026-0.5)</f>
        <v>0.447071067729971</v>
      </c>
      <c r="T9" s="49" t="n">
        <f aca="false">1/(1+Inputs!$C$52)^(2044-2026-0.5)</f>
        <v>0.425781969266639</v>
      </c>
      <c r="U9" s="49" t="n">
        <f aca="false">1/(1+Inputs!$C$52)^(2045-2026-0.5)</f>
        <v>0.405506637396799</v>
      </c>
      <c r="V9" s="49" t="n">
        <f aca="false">1/(1+Inputs!$C$52)^(2046-2026-0.5)</f>
        <v>0.386196797520761</v>
      </c>
      <c r="W9" s="49" t="n">
        <f aca="false">1/(1+Inputs!$C$52)^(2047-2026-0.5)</f>
        <v>0.367806473829296</v>
      </c>
      <c r="X9" s="49" t="n">
        <f aca="false">1/(1+Inputs!$C$52)^(2048-2026-0.5)</f>
        <v>0.350291879837425</v>
      </c>
      <c r="Y9" s="49" t="n">
        <f aca="false">1/(1+Inputs!$C$52)^(2049-2026-0.5)</f>
        <v>0.333611314130881</v>
      </c>
      <c r="Z9" s="49" t="n">
        <f aca="false">1/(1+Inputs!$C$52)^(2050-2026-0.5)</f>
        <v>0.317725061077029</v>
      </c>
      <c r="AA9" s="49" t="n">
        <f aca="false">1/(1+Inputs!$C$52)^(2051-2026-0.5)</f>
        <v>0.302595296263837</v>
      </c>
      <c r="AB9" s="49" t="n">
        <f aca="false">1/(1+Inputs!$C$52)^(2052-2026-0.5)</f>
        <v>0.28818599644175</v>
      </c>
      <c r="AC9" s="49" t="n">
        <f aca="false">1/(1+Inputs!$C$52)^(2053-2026-0.5)</f>
        <v>0.274462853754048</v>
      </c>
      <c r="AD9" s="49" t="n">
        <f aca="false">1/(1+Inputs!$C$52)^(2054-2026-0.5)</f>
        <v>0.261393194051474</v>
      </c>
      <c r="AE9" s="49" t="n">
        <f aca="false">1/(1+Inputs!$C$52)^(2055-2026-0.5)</f>
        <v>0.248945899096642</v>
      </c>
      <c r="AF9" s="49" t="n">
        <f aca="false">1/(1+Inputs!$C$52)^(2056-2026-0.5)</f>
        <v>0.237091332472992</v>
      </c>
      <c r="AG9" s="49" t="n">
        <f aca="false">1/(1+Inputs!$C$52)^(2057-2026-0.5)</f>
        <v>0.225801269021897</v>
      </c>
      <c r="AH9" s="49" t="n">
        <f aca="false">1/(1+Inputs!$C$52)^(2058-2026-0.5)</f>
        <v>0.215048827639902</v>
      </c>
      <c r="AI9" s="49" t="n">
        <f aca="false">1/(1+Inputs!$C$52)^(2059-2026-0.5)</f>
        <v>0.204808407276097</v>
      </c>
      <c r="AJ9" s="49" t="n">
        <f aca="false">1/(1+Inputs!$C$52)^(2060-2026-0.5)</f>
        <v>0.195055625977235</v>
      </c>
    </row>
    <row r="10" customFormat="false" ht="15" hidden="false" customHeight="false" outlineLevel="0" collapsed="false">
      <c r="A10" s="12" t="s">
        <v>229</v>
      </c>
      <c r="B10" s="12" t="s">
        <v>59</v>
      </c>
      <c r="C10" s="48" t="n">
        <f aca="false">C8*C9</f>
        <v>1584.31759093942</v>
      </c>
      <c r="D10" s="48" t="n">
        <f aca="false">D8*D9</f>
        <v>1426.73222081087</v>
      </c>
      <c r="E10" s="48" t="n">
        <f aca="false">E8*E9</f>
        <v>1320.31873863865</v>
      </c>
      <c r="F10" s="48" t="n">
        <f aca="false">F8*F9</f>
        <v>1253.78224131206</v>
      </c>
      <c r="G10" s="48" t="n">
        <f aca="false">G8*G9</f>
        <v>1194.07832505911</v>
      </c>
      <c r="H10" s="48" t="n">
        <f aca="false">H8*H9</f>
        <v>1137.21745243725</v>
      </c>
      <c r="I10" s="48" t="n">
        <f aca="false">I8*I9</f>
        <v>1083.06424041642</v>
      </c>
      <c r="J10" s="48" t="n">
        <f aca="false">J8*J9</f>
        <v>1031.48975277755</v>
      </c>
      <c r="K10" s="48" t="n">
        <f aca="false">K8*K9</f>
        <v>982.371193121473</v>
      </c>
      <c r="L10" s="48" t="n">
        <f aca="false">L8*L9</f>
        <v>897.311904249494</v>
      </c>
      <c r="M10" s="48" t="n">
        <f aca="false">M8*M9</f>
        <v>819.584175554509</v>
      </c>
      <c r="N10" s="48" t="n">
        <f aca="false">N8*N9</f>
        <v>748.557646450489</v>
      </c>
      <c r="O10" s="48" t="n">
        <f aca="false">O8*O9</f>
        <v>683.65607969413</v>
      </c>
      <c r="P10" s="48" t="n">
        <f aca="false">P8*P9</f>
        <v>624.352717839501</v>
      </c>
      <c r="Q10" s="48" t="n">
        <f aca="false">Q8*Q9</f>
        <v>570.166037920479</v>
      </c>
      <c r="R10" s="48" t="n">
        <f aca="false">R8*R9</f>
        <v>520.655870217165</v>
      </c>
      <c r="S10" s="48" t="n">
        <f aca="false">S8*S9</f>
        <v>475.419849889584</v>
      </c>
      <c r="T10" s="48" t="n">
        <f aca="false">T8*T9</f>
        <v>434.090172938127</v>
      </c>
      <c r="U10" s="48" t="n">
        <f aca="false">U8*U9</f>
        <v>396.330630396975</v>
      </c>
      <c r="V10" s="48" t="n">
        <f aca="false">V8*V9</f>
        <v>361.83389690374</v>
      </c>
      <c r="W10" s="48" t="n">
        <f aca="false">W8*W9</f>
        <v>330.319051833832</v>
      </c>
      <c r="X10" s="48" t="n">
        <f aca="false">X8*X9</f>
        <v>301.529313057993</v>
      </c>
      <c r="Y10" s="48" t="n">
        <f aca="false">Y8*Y9</f>
        <v>275.229965091038</v>
      </c>
      <c r="Z10" s="48" t="n">
        <f aca="false">Z8*Z9</f>
        <v>251.206464962978</v>
      </c>
      <c r="AA10" s="48" t="n">
        <f aca="false">AA8*AA9</f>
        <v>229.26271057271</v>
      </c>
      <c r="AB10" s="48" t="n">
        <f aca="false">AB8*AB9</f>
        <v>209.219457591091</v>
      </c>
      <c r="AC10" s="48" t="n">
        <f aca="false">AC8*AC9</f>
        <v>190.912872174752</v>
      </c>
      <c r="AD10" s="48" t="n">
        <f aca="false">AD8*AD9</f>
        <v>174.193207844165</v>
      </c>
      <c r="AE10" s="48" t="n">
        <f aca="false">AE8*AE9</f>
        <v>158.923595878032</v>
      </c>
      <c r="AF10" s="48" t="n">
        <f aca="false">AF8*AF9</f>
        <v>144.978939488971</v>
      </c>
      <c r="AG10" s="48" t="n">
        <f aca="false">AG8*AG9</f>
        <v>132.244902880174</v>
      </c>
      <c r="AH10" s="48" t="n">
        <f aca="false">AH8*AH9</f>
        <v>120.616987045793</v>
      </c>
      <c r="AI10" s="48" t="n">
        <f aca="false">AI8*AI9</f>
        <v>109.999684875532</v>
      </c>
      <c r="AJ10" s="48" t="n">
        <f aca="false">AJ8*AJ9</f>
        <v>100.305708761799</v>
      </c>
    </row>
    <row r="11" customFormat="false" ht="15" hidden="false" customHeight="false" outlineLevel="0" collapsed="false">
      <c r="A11" s="12" t="s">
        <v>276</v>
      </c>
      <c r="B11" s="12" t="s">
        <v>59</v>
      </c>
      <c r="C11" s="48" t="n">
        <f aca="false">IF(AND(2027&gt;=Inputs!$C$53,2027&lt;=2050),Inputs!$C$54*Inputs!$C$58*Inputs!$C$45/1000*(1-Inputs!$C$46)*(1-Inputs!$C$51),0)</f>
        <v>0</v>
      </c>
      <c r="D11" s="48" t="n">
        <f aca="false">IF(AND(2028&gt;=Inputs!$C$53,2028&lt;=2050),Inputs!$C$54*Inputs!$C$58*Inputs!$C$45/1000*(1-Inputs!$C$46)*(1-Inputs!$C$51),0)</f>
        <v>0</v>
      </c>
      <c r="E11" s="48" t="n">
        <f aca="false">IF(AND(2029&gt;=Inputs!$C$53,2029&lt;=2050),Inputs!$C$54*Inputs!$C$58*Inputs!$C$45/1000*(1-Inputs!$C$46)*(1-Inputs!$C$51),0)</f>
        <v>380.318085</v>
      </c>
      <c r="F11" s="48" t="n">
        <f aca="false">IF(AND(2030&gt;=Inputs!$C$53,2030&lt;=2050),Inputs!$C$54*Inputs!$C$58*Inputs!$C$45/1000*(1-Inputs!$C$46)*(1-Inputs!$C$51),0)</f>
        <v>380.318085</v>
      </c>
      <c r="G11" s="48" t="n">
        <f aca="false">IF(AND(2031&gt;=Inputs!$C$53,2031&lt;=2050),Inputs!$C$54*Inputs!$C$58*Inputs!$C$45/1000*(1-Inputs!$C$46)*(1-Inputs!$C$51),0)</f>
        <v>380.318085</v>
      </c>
      <c r="H11" s="48" t="n">
        <f aca="false">IF(AND(2032&gt;=Inputs!$C$53,2032&lt;=2050),Inputs!$C$54*Inputs!$C$58*Inputs!$C$45/1000*(1-Inputs!$C$46)*(1-Inputs!$C$51),0)</f>
        <v>380.318085</v>
      </c>
      <c r="I11" s="48" t="n">
        <f aca="false">IF(AND(2033&gt;=Inputs!$C$53,2033&lt;=2050),Inputs!$C$54*Inputs!$C$58*Inputs!$C$45/1000*(1-Inputs!$C$46)*(1-Inputs!$C$51),0)</f>
        <v>380.318085</v>
      </c>
      <c r="J11" s="48" t="n">
        <f aca="false">IF(AND(2034&gt;=Inputs!$C$53,2034&lt;=2050),Inputs!$C$54*Inputs!$C$58*Inputs!$C$45/1000*(1-Inputs!$C$46)*(1-Inputs!$C$51),0)</f>
        <v>380.318085</v>
      </c>
      <c r="K11" s="48" t="n">
        <f aca="false">IF(AND(2035&gt;=Inputs!$C$53,2035&lt;=2050),Inputs!$C$54*Inputs!$C$58*Inputs!$C$45/1000*(1-Inputs!$C$46)*(1-Inputs!$C$51),0)</f>
        <v>380.318085</v>
      </c>
      <c r="L11" s="48" t="n">
        <f aca="false">IF(AND(2036&gt;=Inputs!$C$53,2036&lt;=2050),Inputs!$C$54*Inputs!$C$58*Inputs!$C$45/1000*(1-Inputs!$C$46)*(1-Inputs!$C$51),0)</f>
        <v>380.318085</v>
      </c>
      <c r="M11" s="48" t="n">
        <f aca="false">IF(AND(2037&gt;=Inputs!$C$53,2037&lt;=2050),Inputs!$C$54*Inputs!$C$58*Inputs!$C$45/1000*(1-Inputs!$C$46)*(1-Inputs!$C$51),0)</f>
        <v>380.318085</v>
      </c>
      <c r="N11" s="48" t="n">
        <f aca="false">IF(AND(2038&gt;=Inputs!$C$53,2038&lt;=2050),Inputs!$C$54*Inputs!$C$58*Inputs!$C$45/1000*(1-Inputs!$C$46)*(1-Inputs!$C$51),0)</f>
        <v>380.318085</v>
      </c>
      <c r="O11" s="48" t="n">
        <f aca="false">IF(AND(2039&gt;=Inputs!$C$53,2039&lt;=2050),Inputs!$C$54*Inputs!$C$58*Inputs!$C$45/1000*(1-Inputs!$C$46)*(1-Inputs!$C$51),0)</f>
        <v>380.318085</v>
      </c>
      <c r="P11" s="48" t="n">
        <f aca="false">IF(AND(2040&gt;=Inputs!$C$53,2040&lt;=2050),Inputs!$C$54*Inputs!$C$58*Inputs!$C$45/1000*(1-Inputs!$C$46)*(1-Inputs!$C$51),0)</f>
        <v>380.318085</v>
      </c>
      <c r="Q11" s="48" t="n">
        <f aca="false">IF(AND(2041&gt;=Inputs!$C$53,2041&lt;=2050),Inputs!$C$54*Inputs!$C$58*Inputs!$C$45/1000*(1-Inputs!$C$46)*(1-Inputs!$C$51),0)</f>
        <v>380.318085</v>
      </c>
      <c r="R11" s="48" t="n">
        <f aca="false">IF(AND(2042&gt;=Inputs!$C$53,2042&lt;=2050),Inputs!$C$54*Inputs!$C$58*Inputs!$C$45/1000*(1-Inputs!$C$46)*(1-Inputs!$C$51),0)</f>
        <v>380.318085</v>
      </c>
      <c r="S11" s="48" t="n">
        <f aca="false">IF(AND(2043&gt;=Inputs!$C$53,2043&lt;=2050),Inputs!$C$54*Inputs!$C$58*Inputs!$C$45/1000*(1-Inputs!$C$46)*(1-Inputs!$C$51),0)</f>
        <v>380.318085</v>
      </c>
      <c r="T11" s="48" t="n">
        <f aca="false">IF(AND(2044&gt;=Inputs!$C$53,2044&lt;=2050),Inputs!$C$54*Inputs!$C$58*Inputs!$C$45/1000*(1-Inputs!$C$46)*(1-Inputs!$C$51),0)</f>
        <v>380.318085</v>
      </c>
      <c r="U11" s="48" t="n">
        <f aca="false">IF(AND(2045&gt;=Inputs!$C$53,2045&lt;=2050),Inputs!$C$54*Inputs!$C$58*Inputs!$C$45/1000*(1-Inputs!$C$46)*(1-Inputs!$C$51),0)</f>
        <v>380.318085</v>
      </c>
      <c r="V11" s="48" t="n">
        <f aca="false">IF(AND(2046&gt;=Inputs!$C$53,2046&lt;=2050),Inputs!$C$54*Inputs!$C$58*Inputs!$C$45/1000*(1-Inputs!$C$46)*(1-Inputs!$C$51),0)</f>
        <v>380.318085</v>
      </c>
      <c r="W11" s="48" t="n">
        <f aca="false">IF(AND(2047&gt;=Inputs!$C$53,2047&lt;=2050),Inputs!$C$54*Inputs!$C$58*Inputs!$C$45/1000*(1-Inputs!$C$46)*(1-Inputs!$C$51),0)</f>
        <v>380.318085</v>
      </c>
      <c r="X11" s="48" t="n">
        <f aca="false">IF(AND(2048&gt;=Inputs!$C$53,2048&lt;=2050),Inputs!$C$54*Inputs!$C$58*Inputs!$C$45/1000*(1-Inputs!$C$46)*(1-Inputs!$C$51),0)</f>
        <v>380.318085</v>
      </c>
      <c r="Y11" s="48" t="n">
        <f aca="false">IF(AND(2049&gt;=Inputs!$C$53,2049&lt;=2050),Inputs!$C$54*Inputs!$C$58*Inputs!$C$45/1000*(1-Inputs!$C$46)*(1-Inputs!$C$51),0)</f>
        <v>380.318085</v>
      </c>
      <c r="Z11" s="48" t="n">
        <f aca="false">IF(AND(2050&gt;=Inputs!$C$53,2050&lt;=2050),Inputs!$C$54*Inputs!$C$58*Inputs!$C$45/1000*(1-Inputs!$C$46)*(1-Inputs!$C$51),0)</f>
        <v>380.318085</v>
      </c>
      <c r="AA11" s="48" t="n">
        <f aca="false">IF(AND(2051&gt;=Inputs!$C$53,2051&lt;=2050),Inputs!$C$54*Inputs!$C$58*Inputs!$C$45/1000*(1-Inputs!$C$46)*(1-Inputs!$C$51),0)</f>
        <v>0</v>
      </c>
      <c r="AB11" s="48" t="n">
        <f aca="false">IF(AND(2052&gt;=Inputs!$C$53,2052&lt;=2050),Inputs!$C$54*Inputs!$C$58*Inputs!$C$45/1000*(1-Inputs!$C$46)*(1-Inputs!$C$51),0)</f>
        <v>0</v>
      </c>
      <c r="AC11" s="48" t="n">
        <f aca="false">IF(AND(2053&gt;=Inputs!$C$53,2053&lt;=2050),Inputs!$C$54*Inputs!$C$58*Inputs!$C$45/1000*(1-Inputs!$C$46)*(1-Inputs!$C$51),0)</f>
        <v>0</v>
      </c>
      <c r="AD11" s="48" t="n">
        <f aca="false">IF(AND(2054&gt;=Inputs!$C$53,2054&lt;=2050),Inputs!$C$54*Inputs!$C$58*Inputs!$C$45/1000*(1-Inputs!$C$46)*(1-Inputs!$C$51),0)</f>
        <v>0</v>
      </c>
      <c r="AE11" s="48" t="n">
        <f aca="false">IF(AND(2055&gt;=Inputs!$C$53,2055&lt;=2050),Inputs!$C$54*Inputs!$C$58*Inputs!$C$45/1000*(1-Inputs!$C$46)*(1-Inputs!$C$51),0)</f>
        <v>0</v>
      </c>
      <c r="AF11" s="48" t="n">
        <f aca="false">IF(AND(2056&gt;=Inputs!$C$53,2056&lt;=2050),Inputs!$C$54*Inputs!$C$58*Inputs!$C$45/1000*(1-Inputs!$C$46)*(1-Inputs!$C$51),0)</f>
        <v>0</v>
      </c>
      <c r="AG11" s="48" t="n">
        <f aca="false">IF(AND(2057&gt;=Inputs!$C$53,2057&lt;=2050),Inputs!$C$54*Inputs!$C$58*Inputs!$C$45/1000*(1-Inputs!$C$46)*(1-Inputs!$C$51),0)</f>
        <v>0</v>
      </c>
      <c r="AH11" s="48" t="n">
        <f aca="false">IF(AND(2058&gt;=Inputs!$C$53,2058&lt;=2050),Inputs!$C$54*Inputs!$C$58*Inputs!$C$45/1000*(1-Inputs!$C$46)*(1-Inputs!$C$51),0)</f>
        <v>0</v>
      </c>
      <c r="AI11" s="48" t="n">
        <f aca="false">IF(AND(2059&gt;=Inputs!$C$53,2059&lt;=2050),Inputs!$C$54*Inputs!$C$58*Inputs!$C$45/1000*(1-Inputs!$C$46)*(1-Inputs!$C$51),0)</f>
        <v>0</v>
      </c>
      <c r="AJ11" s="48" t="n">
        <f aca="false">IF(AND(2060&gt;=Inputs!$C$53,2060&lt;=2050),Inputs!$C$54*Inputs!$C$58*Inputs!$C$45/1000*(1-Inputs!$C$46)*(1-Inputs!$C$51),0)</f>
        <v>0</v>
      </c>
    </row>
    <row r="12" customFormat="false" ht="15" hidden="false" customHeight="false" outlineLevel="0" collapsed="false">
      <c r="A12" s="12" t="s">
        <v>277</v>
      </c>
      <c r="B12" s="12" t="s">
        <v>59</v>
      </c>
      <c r="C12" s="48" t="n">
        <f aca="false">C11*C9</f>
        <v>0</v>
      </c>
      <c r="D12" s="48" t="n">
        <f aca="false">D11*D9</f>
        <v>0</v>
      </c>
      <c r="E12" s="48" t="n">
        <f aca="false">E11*E9</f>
        <v>336.646210335734</v>
      </c>
      <c r="F12" s="48" t="n">
        <f aca="false">F11*F9</f>
        <v>320.615438414984</v>
      </c>
      <c r="G12" s="48" t="n">
        <f aca="false">G11*G9</f>
        <v>305.3480365857</v>
      </c>
      <c r="H12" s="48" t="n">
        <f aca="false">H11*H9</f>
        <v>290.807653891142</v>
      </c>
      <c r="I12" s="48" t="n">
        <f aca="false">I11*I9</f>
        <v>276.959670372517</v>
      </c>
      <c r="J12" s="48" t="n">
        <f aca="false">J11*J9</f>
        <v>263.771114640492</v>
      </c>
      <c r="K12" s="48" t="n">
        <f aca="false">K11*K9</f>
        <v>251.210585371897</v>
      </c>
      <c r="L12" s="48" t="n">
        <f aca="false">L11*L9</f>
        <v>239.248176544664</v>
      </c>
      <c r="M12" s="48" t="n">
        <f aca="false">M11*M9</f>
        <v>227.855406233013</v>
      </c>
      <c r="N12" s="48" t="n">
        <f aca="false">N11*N9</f>
        <v>217.005148793346</v>
      </c>
      <c r="O12" s="48" t="n">
        <f aca="false">O11*O9</f>
        <v>206.671570279377</v>
      </c>
      <c r="P12" s="48" t="n">
        <f aca="false">P11*P9</f>
        <v>196.83006693274</v>
      </c>
      <c r="Q12" s="48" t="n">
        <f aca="false">Q11*Q9</f>
        <v>187.45720660261</v>
      </c>
      <c r="R12" s="48" t="n">
        <f aca="false">R11*R9</f>
        <v>178.530672954866</v>
      </c>
      <c r="S12" s="48" t="n">
        <f aca="false">S11*S9</f>
        <v>170.029212337968</v>
      </c>
      <c r="T12" s="48" t="n">
        <f aca="false">T11*T9</f>
        <v>161.932583179017</v>
      </c>
      <c r="U12" s="48" t="n">
        <f aca="false">U11*U9</f>
        <v>154.22150778954</v>
      </c>
      <c r="V12" s="48" t="n">
        <f aca="false">V11*V9</f>
        <v>146.877626466229</v>
      </c>
      <c r="W12" s="48" t="n">
        <f aca="false">W11*W9</f>
        <v>139.883453777361</v>
      </c>
      <c r="X12" s="48" t="n">
        <f aca="false">X11*X9</f>
        <v>133.22233693082</v>
      </c>
      <c r="Y12" s="48" t="n">
        <f aca="false">Y11*Y9</f>
        <v>126.87841612459</v>
      </c>
      <c r="Z12" s="48" t="n">
        <f aca="false">Z11*Z9</f>
        <v>120.836586785324</v>
      </c>
      <c r="AA12" s="48" t="n">
        <f aca="false">AA11*AA9</f>
        <v>0</v>
      </c>
      <c r="AB12" s="48" t="n">
        <f aca="false">AB11*AB9</f>
        <v>0</v>
      </c>
      <c r="AC12" s="48" t="n">
        <f aca="false">AC11*AC9</f>
        <v>0</v>
      </c>
      <c r="AD12" s="48" t="n">
        <f aca="false">AD11*AD9</f>
        <v>0</v>
      </c>
      <c r="AE12" s="48" t="n">
        <f aca="false">AE11*AE9</f>
        <v>0</v>
      </c>
      <c r="AF12" s="48" t="n">
        <f aca="false">AF11*AF9</f>
        <v>0</v>
      </c>
      <c r="AG12" s="48" t="n">
        <f aca="false">AG11*AG9</f>
        <v>0</v>
      </c>
      <c r="AH12" s="48" t="n">
        <f aca="false">AH11*AH9</f>
        <v>0</v>
      </c>
      <c r="AI12" s="48" t="n">
        <f aca="false">AI11*AI9</f>
        <v>0</v>
      </c>
      <c r="AJ12" s="48" t="n">
        <f aca="false">AJ11*AJ9</f>
        <v>0</v>
      </c>
    </row>
    <row r="14" customFormat="false" ht="15" hidden="false" customHeight="false" outlineLevel="0" collapsed="false">
      <c r="A14" s="14" t="s">
        <v>278</v>
      </c>
      <c r="B14" s="15"/>
      <c r="C14" s="15"/>
    </row>
    <row r="15" customFormat="false" ht="15" hidden="false" customHeight="false" outlineLevel="0" collapsed="false">
      <c r="A15" s="12" t="s">
        <v>279</v>
      </c>
      <c r="B15" s="29" t="n">
        <f aca="false">SUM(C10:AJ10)</f>
        <v>20274.2735996259</v>
      </c>
      <c r="C15" s="3"/>
    </row>
    <row r="16" customFormat="false" ht="15" hidden="false" customHeight="false" outlineLevel="0" collapsed="false">
      <c r="A16" s="12" t="s">
        <v>280</v>
      </c>
      <c r="B16" s="29" t="n">
        <f aca="false">SUM(C12:AJ12)</f>
        <v>4652.83868134393</v>
      </c>
      <c r="C16" s="3"/>
    </row>
    <row r="17" customFormat="false" ht="15" hidden="false" customHeight="false" outlineLevel="0" collapsed="false">
      <c r="A17" s="12" t="s">
        <v>281</v>
      </c>
      <c r="B17" s="35" t="n">
        <f aca="false">NAV!$B$16*Inputs!$C$55</f>
        <v>1628.49353847038</v>
      </c>
      <c r="C17" s="3" t="s">
        <v>282</v>
      </c>
    </row>
    <row r="18" customFormat="false" ht="15" hidden="false" customHeight="false" outlineLevel="0" collapsed="false">
      <c r="A18" s="12" t="s">
        <v>140</v>
      </c>
      <c r="B18" s="28" t="n">
        <f aca="false">Inputs!$C$56</f>
        <v>2000</v>
      </c>
      <c r="C18" s="3"/>
    </row>
    <row r="19" customFormat="false" ht="15" hidden="false" customHeight="false" outlineLevel="0" collapsed="false">
      <c r="A19" s="12" t="s">
        <v>283</v>
      </c>
      <c r="B19" s="28" t="n">
        <f aca="false">Model!$F$30</f>
        <v>1686.142399776</v>
      </c>
      <c r="C19" s="3"/>
    </row>
    <row r="20" customFormat="false" ht="15" hidden="false" customHeight="false" outlineLevel="0" collapsed="false">
      <c r="A20" s="12" t="s">
        <v>284</v>
      </c>
      <c r="B20" s="28" t="n">
        <f aca="false">Inputs!$C$44</f>
        <v>1215.1</v>
      </c>
      <c r="C20" s="3"/>
    </row>
    <row r="21" customFormat="false" ht="15" hidden="false" customHeight="false" outlineLevel="0" collapsed="false">
      <c r="A21" s="12" t="s">
        <v>285</v>
      </c>
      <c r="B21" s="35" t="n">
        <f aca="false">SUM(NAV!$B$15,NAV!$B$17,NAV!$B$18,NAV!$B$19,NAV!$B$20)</f>
        <v>26804.0095378722</v>
      </c>
      <c r="C21" s="3"/>
    </row>
    <row r="22" customFormat="false" ht="15" hidden="false" customHeight="false" outlineLevel="0" collapsed="false">
      <c r="A22" s="12" t="s">
        <v>286</v>
      </c>
      <c r="B22" s="39" t="n">
        <f aca="false">NAV!$B$21/Inputs!$C$57</f>
        <v>138.880878434571</v>
      </c>
      <c r="C22" s="3"/>
    </row>
    <row r="23" customFormat="false" ht="15" hidden="false" customHeight="false" outlineLevel="0" collapsed="false">
      <c r="A23" s="12" t="s">
        <v>287</v>
      </c>
      <c r="B23" s="39" t="n">
        <f aca="false">NAV!$B$17/Inputs!$C$57</f>
        <v>8.43779035476878</v>
      </c>
      <c r="C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3" t="s">
        <v>288</v>
      </c>
    </row>
    <row r="2" customFormat="false" ht="15" hidden="false" customHeight="false" outlineLevel="0" collapsed="false">
      <c r="A2" s="3" t="s">
        <v>289</v>
      </c>
    </row>
    <row r="4" customFormat="false" ht="15" hidden="false" customHeight="false" outlineLevel="0" collapsed="false">
      <c r="A4" s="14" t="s">
        <v>290</v>
      </c>
      <c r="B4" s="15"/>
      <c r="C4" s="15"/>
      <c r="D4" s="15"/>
      <c r="E4" s="15"/>
      <c r="F4" s="15"/>
      <c r="G4" s="15"/>
      <c r="H4" s="15"/>
    </row>
    <row r="5" customFormat="false" ht="15" hidden="false" customHeight="false" outlineLevel="0" collapsed="false">
      <c r="A5" s="3" t="s">
        <v>291</v>
      </c>
      <c r="B5" s="50" t="n">
        <v>20</v>
      </c>
      <c r="C5" s="50" t="n">
        <v>22.5</v>
      </c>
      <c r="D5" s="50" t="n">
        <v>25</v>
      </c>
      <c r="E5" s="50" t="n">
        <v>27.5</v>
      </c>
      <c r="F5" s="50" t="n">
        <v>30</v>
      </c>
    </row>
    <row r="6" customFormat="false" ht="15" hidden="false" customHeight="false" outlineLevel="0" collapsed="false">
      <c r="A6" s="51" t="n">
        <v>1.5</v>
      </c>
      <c r="B6" s="52" t="n">
        <f aca="false">(Inputs!$C$37*$A6*Valuation!$B$23+(1-Inputs!$C$37)*B$5*Valuation!$B$26)/Inputs!$C$30</f>
        <v>194.135691611864</v>
      </c>
      <c r="C6" s="52" t="n">
        <f aca="false">(Inputs!$C$37*$A6*Valuation!$B$23+(1-Inputs!$C$37)*C$5*Valuation!$B$26)/Inputs!$C$30</f>
        <v>205.382570710106</v>
      </c>
      <c r="D6" s="52" t="n">
        <f aca="false">(Inputs!$C$37*$A6*Valuation!$B$23+(1-Inputs!$C$37)*D$5*Valuation!$B$26)/Inputs!$C$30</f>
        <v>216.629449808348</v>
      </c>
      <c r="E6" s="52" t="n">
        <f aca="false">(Inputs!$C$37*$A6*Valuation!$B$23+(1-Inputs!$C$37)*E$5*Valuation!$B$26)/Inputs!$C$30</f>
        <v>227.87632890659</v>
      </c>
      <c r="F6" s="52" t="n">
        <f aca="false">(Inputs!$C$37*$A6*Valuation!$B$23+(1-Inputs!$C$37)*F$5*Valuation!$B$26)/Inputs!$C$30</f>
        <v>239.123208004832</v>
      </c>
    </row>
    <row r="7" customFormat="false" ht="15" hidden="false" customHeight="false" outlineLevel="0" collapsed="false">
      <c r="A7" s="51" t="n">
        <v>1.75</v>
      </c>
      <c r="B7" s="52" t="n">
        <f aca="false">(Inputs!$C$37*$A7*Valuation!$B$23+(1-Inputs!$C$37)*B$5*Valuation!$B$26)/Inputs!$C$30</f>
        <v>211.495801416186</v>
      </c>
      <c r="C7" s="52" t="n">
        <f aca="false">(Inputs!$C$37*$A7*Valuation!$B$23+(1-Inputs!$C$37)*C$5*Valuation!$B$26)/Inputs!$C$30</f>
        <v>222.742680514428</v>
      </c>
      <c r="D7" s="52" t="n">
        <f aca="false">(Inputs!$C$37*$A7*Valuation!$B$23+(1-Inputs!$C$37)*D$5*Valuation!$B$26)/Inputs!$C$30</f>
        <v>233.98955961267</v>
      </c>
      <c r="E7" s="52" t="n">
        <f aca="false">(Inputs!$C$37*$A7*Valuation!$B$23+(1-Inputs!$C$37)*E$5*Valuation!$B$26)/Inputs!$C$30</f>
        <v>245.236438710912</v>
      </c>
      <c r="F7" s="52" t="n">
        <f aca="false">(Inputs!$C$37*$A7*Valuation!$B$23+(1-Inputs!$C$37)*F$5*Valuation!$B$26)/Inputs!$C$30</f>
        <v>256.483317809154</v>
      </c>
    </row>
    <row r="8" customFormat="false" ht="15" hidden="false" customHeight="false" outlineLevel="0" collapsed="false">
      <c r="A8" s="51" t="n">
        <v>2</v>
      </c>
      <c r="B8" s="52" t="n">
        <f aca="false">(Inputs!$C$37*$A8*Valuation!$B$23+(1-Inputs!$C$37)*B$5*Valuation!$B$26)/Inputs!$C$30</f>
        <v>228.855911220507</v>
      </c>
      <c r="C8" s="52" t="n">
        <f aca="false">(Inputs!$C$37*$A8*Valuation!$B$23+(1-Inputs!$C$37)*C$5*Valuation!$B$26)/Inputs!$C$30</f>
        <v>240.102790318749</v>
      </c>
      <c r="D8" s="52" t="n">
        <f aca="false">(Inputs!$C$37*$A8*Valuation!$B$23+(1-Inputs!$C$37)*D$5*Valuation!$B$26)/Inputs!$C$30</f>
        <v>251.349669416991</v>
      </c>
      <c r="E8" s="52" t="n">
        <f aca="false">(Inputs!$C$37*$A8*Valuation!$B$23+(1-Inputs!$C$37)*E$5*Valuation!$B$26)/Inputs!$C$30</f>
        <v>262.596548515233</v>
      </c>
      <c r="F8" s="52" t="n">
        <f aca="false">(Inputs!$C$37*$A8*Valuation!$B$23+(1-Inputs!$C$37)*F$5*Valuation!$B$26)/Inputs!$C$30</f>
        <v>273.843427613475</v>
      </c>
    </row>
    <row r="9" customFormat="false" ht="15" hidden="false" customHeight="false" outlineLevel="0" collapsed="false">
      <c r="A9" s="51" t="n">
        <v>2.25</v>
      </c>
      <c r="B9" s="52" t="n">
        <f aca="false">(Inputs!$C$37*$A9*Valuation!$B$23+(1-Inputs!$C$37)*B$5*Valuation!$B$26)/Inputs!$C$30</f>
        <v>246.216021024828</v>
      </c>
      <c r="C9" s="52" t="n">
        <f aca="false">(Inputs!$C$37*$A9*Valuation!$B$23+(1-Inputs!$C$37)*C$5*Valuation!$B$26)/Inputs!$C$30</f>
        <v>257.46290012307</v>
      </c>
      <c r="D9" s="52" t="n">
        <f aca="false">(Inputs!$C$37*$A9*Valuation!$B$23+(1-Inputs!$C$37)*D$5*Valuation!$B$26)/Inputs!$C$30</f>
        <v>268.709779221312</v>
      </c>
      <c r="E9" s="52" t="n">
        <f aca="false">(Inputs!$C$37*$A9*Valuation!$B$23+(1-Inputs!$C$37)*E$5*Valuation!$B$26)/Inputs!$C$30</f>
        <v>279.956658319554</v>
      </c>
      <c r="F9" s="52" t="n">
        <f aca="false">(Inputs!$C$37*$A9*Valuation!$B$23+(1-Inputs!$C$37)*F$5*Valuation!$B$26)/Inputs!$C$30</f>
        <v>291.203537417796</v>
      </c>
    </row>
    <row r="10" customFormat="false" ht="15" hidden="false" customHeight="false" outlineLevel="0" collapsed="false">
      <c r="A10" s="51" t="n">
        <v>2.5</v>
      </c>
      <c r="B10" s="52" t="n">
        <f aca="false">(Inputs!$C$37*$A10*Valuation!$B$23+(1-Inputs!$C$37)*B$5*Valuation!$B$26)/Inputs!$C$30</f>
        <v>263.57613082915</v>
      </c>
      <c r="C10" s="52" t="n">
        <f aca="false">(Inputs!$C$37*$A10*Valuation!$B$23+(1-Inputs!$C$37)*C$5*Valuation!$B$26)/Inputs!$C$30</f>
        <v>274.823009927392</v>
      </c>
      <c r="D10" s="52" t="n">
        <f aca="false">(Inputs!$C$37*$A10*Valuation!$B$23+(1-Inputs!$C$37)*D$5*Valuation!$B$26)/Inputs!$C$30</f>
        <v>286.069889025634</v>
      </c>
      <c r="E10" s="52" t="n">
        <f aca="false">(Inputs!$C$37*$A10*Valuation!$B$23+(1-Inputs!$C$37)*E$5*Valuation!$B$26)/Inputs!$C$30</f>
        <v>297.316768123876</v>
      </c>
      <c r="F10" s="52" t="n">
        <f aca="false">(Inputs!$C$37*$A10*Valuation!$B$23+(1-Inputs!$C$37)*F$5*Valuation!$B$26)/Inputs!$C$30</f>
        <v>308.563647222118</v>
      </c>
    </row>
    <row r="13" customFormat="false" ht="15" hidden="false" customHeight="false" outlineLevel="0" collapsed="false">
      <c r="A13" s="14" t="s">
        <v>292</v>
      </c>
      <c r="B13" s="15"/>
      <c r="C13" s="15"/>
      <c r="D13" s="15"/>
      <c r="E13" s="15"/>
      <c r="F13" s="15"/>
      <c r="G13" s="15"/>
      <c r="H13" s="15"/>
    </row>
    <row r="14" customFormat="false" ht="15" hidden="false" customHeight="false" outlineLevel="0" collapsed="false">
      <c r="B14" s="53" t="n">
        <v>0</v>
      </c>
      <c r="C14" s="53" t="n">
        <v>0.01</v>
      </c>
      <c r="D14" s="53" t="n">
        <v>0.02</v>
      </c>
      <c r="E14" s="53" t="n">
        <v>0.03</v>
      </c>
    </row>
    <row r="15" customFormat="false" ht="15" hidden="false" customHeight="false" outlineLevel="0" collapsed="false">
      <c r="A15" s="53" t="n">
        <v>0.06</v>
      </c>
      <c r="B15" s="52" t="n">
        <f aca="false">(Valuation!B44/(1+$A15)^1+Valuation!C44/(1+$A15)^2+Valuation!D44/(1+$A15)^3+Valuation!E44/(1+$A15)^4+Valuation!E44*(1+B$14)/($A15-B$14)/(1+$A15)^4-Valuation!$B$53+Valuation!$B$54)/Valuation!$B$7</f>
        <v>154.44170612055</v>
      </c>
      <c r="C15" s="52" t="n">
        <f aca="false">(Valuation!B44/(1+$A15)^1+Valuation!C44/(1+$A15)^2+Valuation!D44/(1+$A15)^3+Valuation!E44/(1+$A15)^4+Valuation!E44*(1+C$14)/($A15-C$14)/(1+$A15)^4-Valuation!$B$53+Valuation!$B$54)/Valuation!$B$7</f>
        <v>177.699631155369</v>
      </c>
      <c r="D15" s="52" t="n">
        <f aca="false">(Valuation!B44/(1+$A15)^1+Valuation!C44/(1+$A15)^2+Valuation!D44/(1+$A15)^3+Valuation!E44/(1+$A15)^4+Valuation!E44*(1+D$14)/($A15-D$14)/(1+$A15)^4-Valuation!$B$53+Valuation!$B$54)/Valuation!$B$7</f>
        <v>212.586518707596</v>
      </c>
      <c r="E15" s="52" t="n">
        <f aca="false">(Valuation!B44/(1+$A15)^1+Valuation!C44/(1+$A15)^2+Valuation!D44/(1+$A15)^3+Valuation!E44/(1+$A15)^4+Valuation!E44*(1+E$14)/($A15-E$14)/(1+$A15)^4-Valuation!$B$53+Valuation!$B$54)/Valuation!$B$7</f>
        <v>270.731331294643</v>
      </c>
    </row>
    <row r="16" customFormat="false" ht="15" hidden="false" customHeight="false" outlineLevel="0" collapsed="false">
      <c r="A16" s="53" t="n">
        <v>0.07</v>
      </c>
      <c r="B16" s="52" t="n">
        <f aca="false">(Valuation!B44/(1+$A16)^1+Valuation!C44/(1+$A16)^2+Valuation!D44/(1+$A16)^3+Valuation!E44/(1+$A16)^4+Valuation!E44*(1+B$14)/($A16-B$14)/(1+$A16)^4-Valuation!$B$53+Valuation!$B$54)/Valuation!$B$7</f>
        <v>134.64494606384</v>
      </c>
      <c r="C16" s="52" t="n">
        <f aca="false">(Valuation!B44/(1+$A16)^1+Valuation!C44/(1+$A16)^2+Valuation!D44/(1+$A16)^3+Valuation!E44/(1+$A16)^4+Valuation!E44*(1+C$14)/($A16-C$14)/(1+$A16)^4-Valuation!$B$53+Valuation!$B$54)/Valuation!$B$7</f>
        <v>150.796309638874</v>
      </c>
      <c r="D16" s="52" t="n">
        <f aca="false">(Valuation!B44/(1+$A16)^1+Valuation!C44/(1+$A16)^2+Valuation!D44/(1+$A16)^3+Valuation!E44/(1+$A16)^4+Valuation!E44*(1+D$14)/($A16-D$14)/(1+$A16)^4-Valuation!$B$53+Valuation!$B$54)/Valuation!$B$7</f>
        <v>173.40821864392</v>
      </c>
      <c r="E16" s="52" t="n">
        <f aca="false">(Valuation!B44/(1+$A16)^1+Valuation!C44/(1+$A16)^2+Valuation!D44/(1+$A16)^3+Valuation!E44/(1+$A16)^4+Valuation!E44*(1+E$14)/($A16-E$14)/(1+$A16)^4-Valuation!$B$53+Valuation!$B$54)/Valuation!$B$7</f>
        <v>207.32608215149</v>
      </c>
    </row>
    <row r="17" customFormat="false" ht="15" hidden="false" customHeight="false" outlineLevel="0" collapsed="false">
      <c r="A17" s="53" t="n">
        <v>0.08</v>
      </c>
      <c r="B17" s="52" t="n">
        <f aca="false">(Valuation!B44/(1+$A17)^1+Valuation!C44/(1+$A17)^2+Valuation!D44/(1+$A17)^3+Valuation!E44/(1+$A17)^4+Valuation!E44*(1+B$14)/($A17-B$14)/(1+$A17)^4-Valuation!$B$53+Valuation!$B$54)/Valuation!$B$7</f>
        <v>119.794955449947</v>
      </c>
      <c r="C17" s="52" t="n">
        <f aca="false">(Valuation!B44/(1+$A17)^1+Valuation!C44/(1+$A17)^2+Valuation!D44/(1+$A17)^3+Valuation!E44/(1+$A17)^4+Valuation!E44*(1+C$14)/($A17-C$14)/(1+$A17)^4-Valuation!$B$53+Valuation!$B$54)/Valuation!$B$7</f>
        <v>131.575097391944</v>
      </c>
      <c r="D17" s="52" t="n">
        <f aca="false">(Valuation!B44/(1+$A17)^1+Valuation!C44/(1+$A17)^2+Valuation!D44/(1+$A17)^3+Valuation!E44/(1+$A17)^4+Valuation!E44*(1+D$14)/($A17-D$14)/(1+$A17)^4-Valuation!$B$53+Valuation!$B$54)/Valuation!$B$7</f>
        <v>147.281953314607</v>
      </c>
      <c r="E17" s="52" t="n">
        <f aca="false">(Valuation!B44/(1+$A17)^1+Valuation!C44/(1+$A17)^2+Valuation!D44/(1+$A17)^3+Valuation!E44/(1+$A17)^4+Valuation!E44*(1+E$14)/($A17-E$14)/(1+$A17)^4-Valuation!$B$53+Valuation!$B$54)/Valuation!$B$7</f>
        <v>169.271551606335</v>
      </c>
    </row>
    <row r="18" customFormat="false" ht="15" hidden="false" customHeight="false" outlineLevel="0" collapsed="false">
      <c r="A18" s="53" t="n">
        <v>0.09</v>
      </c>
      <c r="B18" s="52" t="n">
        <f aca="false">(Valuation!B44/(1+$A18)^1+Valuation!C44/(1+$A18)^2+Valuation!D44/(1+$A18)^3+Valuation!E44/(1+$A18)^4+Valuation!E44*(1+B$14)/($A18-B$14)/(1+$A18)^4-Valuation!$B$53+Valuation!$B$54)/Valuation!$B$7</f>
        <v>108.24288349295</v>
      </c>
      <c r="C18" s="52" t="n">
        <f aca="false">(Valuation!B44/(1+$A18)^1+Valuation!C44/(1+$A18)^2+Valuation!D44/(1+$A18)^3+Valuation!E44/(1+$A18)^4+Valuation!E44*(1+C$14)/($A18-C$14)/(1+$A18)^4-Valuation!$B$53+Valuation!$B$54)/Valuation!$B$7</f>
        <v>117.155348272783</v>
      </c>
      <c r="D18" s="52" t="n">
        <f aca="false">(Valuation!B44/(1+$A18)^1+Valuation!C44/(1+$A18)^2+Valuation!D44/(1+$A18)^3+Valuation!E44/(1+$A18)^4+Valuation!E44*(1+D$14)/($A18-D$14)/(1+$A18)^4-Valuation!$B$53+Valuation!$B$54)/Valuation!$B$7</f>
        <v>128.614231561139</v>
      </c>
      <c r="E18" s="52" t="n">
        <f aca="false">(Valuation!B44/(1+$A18)^1+Valuation!C44/(1+$A18)^2+Valuation!D44/(1+$A18)^3+Valuation!E44/(1+$A18)^4+Valuation!E44*(1+E$14)/($A18-E$14)/(1+$A18)^4-Valuation!$B$53+Valuation!$B$54)/Valuation!$B$7</f>
        <v>143.892742612281</v>
      </c>
    </row>
    <row r="19" customFormat="false" ht="15" hidden="false" customHeight="false" outlineLevel="0" collapsed="false">
      <c r="A19" s="53" t="n">
        <v>0.1</v>
      </c>
      <c r="B19" s="52" t="n">
        <f aca="false">(Valuation!B44/(1+$A19)^1+Valuation!C44/(1+$A19)^2+Valuation!D44/(1+$A19)^3+Valuation!E44/(1+$A19)^4+Valuation!E44*(1+B$14)/($A19-B$14)/(1+$A19)^4-Valuation!$B$53+Valuation!$B$54)/Valuation!$B$7</f>
        <v>98.9994169038222</v>
      </c>
      <c r="C19" s="52" t="n">
        <f aca="false">(Valuation!B44/(1+$A19)^1+Valuation!C44/(1+$A19)^2+Valuation!D44/(1+$A19)^3+Valuation!E44/(1+$A19)^4+Valuation!E44*(1+C$14)/($A19-C$14)/(1+$A19)^4-Valuation!$B$53+Valuation!$B$54)/Valuation!$B$7</f>
        <v>105.93669735543</v>
      </c>
      <c r="D19" s="52" t="n">
        <f aca="false">(Valuation!B44/(1+$A19)^1+Valuation!C44/(1+$A19)^2+Valuation!D44/(1+$A19)^3+Valuation!E44/(1+$A19)^4+Valuation!E44*(1+D$14)/($A19-D$14)/(1+$A19)^4-Valuation!$B$53+Valuation!$B$54)/Valuation!$B$7</f>
        <v>114.608297919939</v>
      </c>
      <c r="E19" s="52" t="n">
        <f aca="false">(Valuation!B44/(1+$A19)^1+Valuation!C44/(1+$A19)^2+Valuation!D44/(1+$A19)^3+Valuation!E44/(1+$A19)^4+Valuation!E44*(1+E$14)/($A19-E$14)/(1+$A19)^4-Valuation!$B$53+Valuation!$B$54)/Valuation!$B$7</f>
        <v>125.757498645737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0" min="3" style="0" width="11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3" t="s">
        <v>293</v>
      </c>
    </row>
    <row r="2" customFormat="false" ht="15" hidden="false" customHeight="false" outlineLevel="0" collapsed="false">
      <c r="A2" s="3" t="s">
        <v>294</v>
      </c>
    </row>
    <row r="4" customFormat="false" ht="15" hidden="false" customHeight="false" outlineLevel="0" collapsed="false">
      <c r="A4" s="16" t="s">
        <v>295</v>
      </c>
      <c r="B4" s="17" t="s">
        <v>41</v>
      </c>
      <c r="C4" s="17" t="s">
        <v>42</v>
      </c>
      <c r="D4" s="17" t="s">
        <v>43</v>
      </c>
      <c r="E4" s="17" t="s">
        <v>44</v>
      </c>
      <c r="F4" s="17" t="s">
        <v>45</v>
      </c>
      <c r="G4" s="17" t="s">
        <v>46</v>
      </c>
      <c r="H4" s="17" t="s">
        <v>47</v>
      </c>
      <c r="I4" s="17" t="s">
        <v>48</v>
      </c>
      <c r="J4" s="17" t="s">
        <v>49</v>
      </c>
      <c r="K4" s="17" t="s">
        <v>296</v>
      </c>
    </row>
    <row r="5" customFormat="false" ht="15" hidden="false" customHeight="false" outlineLevel="0" collapsed="false">
      <c r="A5" s="12" t="s">
        <v>164</v>
      </c>
      <c r="B5" s="12"/>
      <c r="C5" s="54" t="n">
        <f aca="false">IFERROR(Model!C13/Model!C10,"")</f>
        <v>0.908547289883695</v>
      </c>
      <c r="F5" s="54" t="n">
        <f aca="false">IFERROR(Model!F13/Model!F10,"")</f>
        <v>0.907349303975355</v>
      </c>
      <c r="G5" s="54" t="n">
        <f aca="false">IFERROR(Model!G13/Model!G10,"")</f>
        <v>0.902507894167688</v>
      </c>
      <c r="H5" s="54" t="n">
        <f aca="false">IFERROR(Model!H13/Model!H10,"")</f>
        <v>0.900791253771977</v>
      </c>
      <c r="I5" s="54" t="n">
        <f aca="false">IFERROR(Model!I13/Model!I10,"")</f>
        <v>0.899531060005287</v>
      </c>
      <c r="J5" s="54" t="n">
        <f aca="false">IFERROR(Model!J13/Model!J10,"")</f>
        <v>0.898794305351007</v>
      </c>
      <c r="K5" s="3"/>
    </row>
    <row r="6" customFormat="false" ht="15" hidden="false" customHeight="false" outlineLevel="0" collapsed="false">
      <c r="A6" s="12" t="s">
        <v>297</v>
      </c>
      <c r="B6" s="12"/>
      <c r="C6" s="54" t="n">
        <f aca="false">IFERROR(Model!C19/Model!C10,"")</f>
        <v>0.589861751152074</v>
      </c>
      <c r="F6" s="54" t="n">
        <f aca="false">IFERROR(Model!F19/Model!F10,"")</f>
        <v>0.625285639221284</v>
      </c>
      <c r="G6" s="54" t="n">
        <f aca="false">IFERROR(Model!G19/Model!G10,"")</f>
        <v>0.584834789128397</v>
      </c>
      <c r="H6" s="54" t="n">
        <f aca="false">IFERROR(Model!H19/Model!H10,"")</f>
        <v>0.576207148527858</v>
      </c>
      <c r="I6" s="54" t="n">
        <f aca="false">IFERROR(Model!I19/Model!I10,"")</f>
        <v>0.56678313860252</v>
      </c>
      <c r="J6" s="54" t="n">
        <f aca="false">IFERROR(Model!J19/Model!J10,"")</f>
        <v>0.560912282768778</v>
      </c>
      <c r="K6" s="3"/>
    </row>
    <row r="7" customFormat="false" ht="15" hidden="false" customHeight="false" outlineLevel="0" collapsed="false">
      <c r="A7" s="12" t="s">
        <v>298</v>
      </c>
      <c r="B7" s="12"/>
      <c r="F7" s="55" t="n">
        <f aca="false">IFERROR(Model!F10/AVERAGE(Model!C32,Model!F32),"")</f>
        <v>0.290980912269182</v>
      </c>
      <c r="G7" s="55" t="n">
        <f aca="false">IFERROR(Model!G10/AVERAGE(Model!F32,Model!G32),"")</f>
        <v>0.240771680852398</v>
      </c>
      <c r="H7" s="55" t="n">
        <f aca="false">IFERROR(Model!H10/AVERAGE(Model!G32,Model!H32),"")</f>
        <v>0.208335932592699</v>
      </c>
      <c r="I7" s="55" t="n">
        <f aca="false">IFERROR(Model!I10/AVERAGE(Model!H32,Model!I32),"")</f>
        <v>0.188279321192153</v>
      </c>
      <c r="J7" s="55" t="n">
        <f aca="false">IFERROR(Model!J10/AVERAGE(Model!I32,Model!J32),"")</f>
        <v>0.176376973200547</v>
      </c>
      <c r="K7" s="3"/>
    </row>
    <row r="8" customFormat="false" ht="15" hidden="false" customHeight="false" outlineLevel="0" collapsed="false">
      <c r="A8" s="12" t="s">
        <v>299</v>
      </c>
      <c r="B8" s="12"/>
      <c r="F8" s="54" t="n">
        <f aca="false">IFERROR(Model!F19/AVERAGE(Model!C32,Model!F32),"")</f>
        <v>0.181946185729428</v>
      </c>
      <c r="G8" s="54" t="n">
        <f aca="false">IFERROR(Model!G19/AVERAGE(Model!F32,Model!G32),"")</f>
        <v>0.140811655199402</v>
      </c>
      <c r="H8" s="54" t="n">
        <f aca="false">IFERROR(Model!H19/AVERAGE(Model!G32,Model!H32),"")</f>
        <v>0.120044653655131</v>
      </c>
      <c r="I8" s="54" t="n">
        <f aca="false">IFERROR(Model!I19/AVERAGE(Model!H32,Model!I32),"")</f>
        <v>0.106713544599241</v>
      </c>
      <c r="J8" s="54" t="n">
        <f aca="false">IFERROR(Model!J19/AVERAGE(Model!I32,Model!J32),"")</f>
        <v>0.0989320106657666</v>
      </c>
      <c r="K8" s="3" t="s">
        <v>300</v>
      </c>
    </row>
    <row r="9" customFormat="false" ht="15" hidden="false" customHeight="false" outlineLevel="0" collapsed="false">
      <c r="A9" s="12" t="s">
        <v>301</v>
      </c>
      <c r="B9" s="12"/>
      <c r="C9" s="55" t="n">
        <f aca="false">IFERROR(Model!C23/Model!C19,"")</f>
        <v>1.38922991071429</v>
      </c>
      <c r="F9" s="55" t="n">
        <f aca="false">IFERROR(Model!F23/Model!F19,"")</f>
        <v>1.27743596160869</v>
      </c>
      <c r="G9" s="55" t="n">
        <f aca="false">IFERROR(Model!G23/Model!G19,"")</f>
        <v>1.34065653671416</v>
      </c>
      <c r="H9" s="55" t="n">
        <f aca="false">IFERROR(Model!H23/Model!H19,"")</f>
        <v>1.36245109537605</v>
      </c>
      <c r="I9" s="55" t="n">
        <f aca="false">IFERROR(Model!I23/Model!I19,"")</f>
        <v>1.38735092742819</v>
      </c>
      <c r="J9" s="55" t="n">
        <f aca="false">IFERROR(Model!J23/Model!J19,"")</f>
        <v>1.40299481264444</v>
      </c>
      <c r="K9" s="3"/>
    </row>
    <row r="10" customFormat="false" ht="15" hidden="false" customHeight="false" outlineLevel="0" collapsed="false">
      <c r="A10" s="12" t="s">
        <v>302</v>
      </c>
      <c r="B10" s="12"/>
      <c r="C10" s="54" t="n">
        <f aca="false">IFERROR(Model!C26/Model!C21,"")</f>
        <v>0.272418154761905</v>
      </c>
      <c r="F10" s="54" t="n">
        <f aca="false">IFERROR(Model!F26/Model!F21,"")</f>
        <v>0.227817219023115</v>
      </c>
      <c r="G10" s="54" t="n">
        <f aca="false">IFERROR(Model!G26/Model!G21,"")</f>
        <v>0.286086091973454</v>
      </c>
      <c r="H10" s="54" t="n">
        <f aca="false">IFERROR(Model!H26/Model!H21,"")</f>
        <v>0.332972432794785</v>
      </c>
      <c r="I10" s="54" t="n">
        <f aca="false">IFERROR(Model!I26/Model!I21,"")</f>
        <v>0.375707808229056</v>
      </c>
      <c r="J10" s="54" t="n">
        <f aca="false">IFERROR(Model!J26/Model!J21,"")</f>
        <v>0.408759725110135</v>
      </c>
      <c r="K10" s="3"/>
    </row>
    <row r="11" customFormat="false" ht="15" hidden="false" customHeight="false" outlineLevel="0" collapsed="false">
      <c r="A11" s="12" t="s">
        <v>303</v>
      </c>
      <c r="B11" s="12"/>
      <c r="G11" s="54" t="n">
        <f aca="false">IFERROR((Model!G27+Model!G28)/Model!G23,"")</f>
        <v>0.500729510062937</v>
      </c>
      <c r="H11" s="54" t="n">
        <f aca="false">IFERROR((Model!H27+Model!H28)/Model!H23,"")</f>
        <v>0.54753011996375</v>
      </c>
      <c r="I11" s="54" t="n">
        <f aca="false">IFERROR((Model!I27+Model!I28)/Model!I23,"")</f>
        <v>0.5820790585945</v>
      </c>
      <c r="J11" s="54" t="n">
        <f aca="false">IFERROR((Model!J27+Model!J28)/Model!J23,"")</f>
        <v>0.6032570330298</v>
      </c>
      <c r="K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3" t="s">
        <v>304</v>
      </c>
    </row>
    <row r="2" customFormat="false" ht="15" hidden="false" customHeight="false" outlineLevel="0" collapsed="false">
      <c r="A2" s="3" t="s">
        <v>305</v>
      </c>
    </row>
    <row r="4" customFormat="false" ht="26.85" hidden="false" customHeight="false" outlineLevel="0" collapsed="false">
      <c r="A4" s="16" t="s">
        <v>306</v>
      </c>
      <c r="B4" s="17" t="s">
        <v>307</v>
      </c>
      <c r="C4" s="17" t="s">
        <v>308</v>
      </c>
      <c r="D4" s="17" t="s">
        <v>309</v>
      </c>
      <c r="E4" s="17" t="s">
        <v>310</v>
      </c>
      <c r="F4" s="17" t="s">
        <v>311</v>
      </c>
      <c r="G4" s="17" t="s">
        <v>312</v>
      </c>
    </row>
    <row r="5" customFormat="false" ht="15" hidden="false" customHeight="false" outlineLevel="0" collapsed="false">
      <c r="A5" s="56" t="s">
        <v>313</v>
      </c>
      <c r="B5" s="56" t="s">
        <v>314</v>
      </c>
      <c r="C5" s="57" t="n">
        <v>230.76</v>
      </c>
      <c r="D5" s="57" t="n">
        <v>44.5</v>
      </c>
      <c r="E5" s="57" t="n">
        <v>27.5</v>
      </c>
      <c r="F5" s="57" t="n">
        <v>22.2</v>
      </c>
      <c r="G5" s="57" t="n">
        <v>1</v>
      </c>
    </row>
    <row r="6" customFormat="false" ht="15" hidden="false" customHeight="false" outlineLevel="0" collapsed="false">
      <c r="A6" s="58" t="s">
        <v>315</v>
      </c>
      <c r="B6" s="58" t="s">
        <v>316</v>
      </c>
      <c r="C6" s="59" t="n">
        <v>124.59</v>
      </c>
      <c r="D6" s="59" t="n">
        <v>56.6</v>
      </c>
      <c r="E6" s="59" t="n">
        <v>25.1</v>
      </c>
      <c r="F6" s="59" t="n">
        <v>20</v>
      </c>
      <c r="G6" s="59" t="n">
        <v>-1.9</v>
      </c>
    </row>
    <row r="7" customFormat="false" ht="15" hidden="false" customHeight="false" outlineLevel="0" collapsed="false">
      <c r="A7" s="58" t="s">
        <v>317</v>
      </c>
      <c r="B7" s="58" t="s">
        <v>318</v>
      </c>
      <c r="C7" s="59" t="n">
        <v>234.11</v>
      </c>
      <c r="D7" s="59" t="n">
        <v>19.8</v>
      </c>
      <c r="E7" s="59" t="n">
        <v>22.9</v>
      </c>
      <c r="F7" s="59" t="n">
        <v>14.8</v>
      </c>
      <c r="G7" s="59" t="n">
        <v>-0.3</v>
      </c>
    </row>
    <row r="9" customFormat="false" ht="15" hidden="false" customHeight="false" outlineLevel="0" collapsed="false">
      <c r="A9" s="3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3" t="s">
        <v>320</v>
      </c>
    </row>
    <row r="2" customFormat="false" ht="15" hidden="false" customHeight="false" outlineLevel="0" collapsed="false">
      <c r="A2" s="3" t="s">
        <v>321</v>
      </c>
    </row>
    <row r="4" customFormat="false" ht="15" hidden="false" customHeight="false" outlineLevel="0" collapsed="false">
      <c r="A4" s="16" t="s">
        <v>322</v>
      </c>
      <c r="B4" s="17" t="s">
        <v>21</v>
      </c>
      <c r="C4" s="17" t="s">
        <v>323</v>
      </c>
      <c r="D4" s="17" t="s">
        <v>324</v>
      </c>
    </row>
    <row r="5" customFormat="false" ht="15" hidden="false" customHeight="false" outlineLevel="0" collapsed="false">
      <c r="A5" s="12" t="s">
        <v>325</v>
      </c>
      <c r="B5" s="60" t="n">
        <f aca="false">Valuation!$B$34</f>
        <v>250</v>
      </c>
      <c r="C5" s="61" t="n">
        <v>250</v>
      </c>
      <c r="D5" s="62" t="b">
        <f aca="false">ABS(B5-C5)&lt;=MAX(0.01,ABS(C5)*0.005)</f>
        <v>1</v>
      </c>
    </row>
    <row r="6" customFormat="false" ht="15" hidden="false" customHeight="false" outlineLevel="0" collapsed="false">
      <c r="A6" s="12" t="s">
        <v>326</v>
      </c>
      <c r="B6" s="60" t="str">
        <f aca="false">Valuation!$B$39</f>
        <v>Hold</v>
      </c>
      <c r="C6" s="61" t="s">
        <v>327</v>
      </c>
      <c r="D6" s="62" t="b">
        <f aca="false">B6=C6</f>
        <v>1</v>
      </c>
    </row>
    <row r="7" customFormat="false" ht="15" hidden="false" customHeight="false" outlineLevel="0" collapsed="false">
      <c r="A7" s="12" t="s">
        <v>328</v>
      </c>
      <c r="B7" s="60" t="n">
        <f aca="false">NAV!$B$22</f>
        <v>138.880878434571</v>
      </c>
      <c r="C7" s="61" t="n">
        <v>138.88</v>
      </c>
      <c r="D7" s="62" t="b">
        <f aca="false">ABS(B7-C7)&lt;=MAX(0.01,ABS(C7)*0.005)</f>
        <v>1</v>
      </c>
    </row>
    <row r="8" customFormat="false" ht="15" hidden="false" customHeight="false" outlineLevel="0" collapsed="false">
      <c r="A8" s="12" t="s">
        <v>329</v>
      </c>
      <c r="B8" s="60" t="n">
        <f aca="false">Model!$F$21</f>
        <v>7.72549154777202</v>
      </c>
      <c r="C8" s="61" t="n">
        <v>7.72</v>
      </c>
      <c r="D8" s="62" t="b">
        <f aca="false">ABS(B8-C8)&lt;=MAX(0.01,ABS(C8)*0.005)</f>
        <v>1</v>
      </c>
    </row>
    <row r="9" customFormat="false" ht="15" hidden="false" customHeight="false" outlineLevel="0" collapsed="false">
      <c r="A9" s="12" t="s">
        <v>330</v>
      </c>
      <c r="B9" s="60" t="n">
        <f aca="false">Model!$G$24</f>
        <v>8.99750327859359</v>
      </c>
      <c r="C9" s="61" t="n">
        <v>9</v>
      </c>
      <c r="D9" s="62" t="b">
        <f aca="false">ABS(B9-C9)&lt;=MAX(0.01,ABS(C9)*0.005)</f>
        <v>1</v>
      </c>
    </row>
    <row r="10" customFormat="false" ht="15" hidden="false" customHeight="false" outlineLevel="0" collapsed="false">
      <c r="A10" s="12" t="s">
        <v>331</v>
      </c>
      <c r="B10" s="60" t="n">
        <f aca="false">Model!$F$10</f>
        <v>2384.542</v>
      </c>
      <c r="C10" s="61" t="n">
        <f aca="false">Model!$D$10+Model!$E$10</f>
        <v>2384.542</v>
      </c>
      <c r="D10" s="62" t="b">
        <f aca="false">ABS(B10-C10)&lt;=MAX(0.01,ABS(C10)*0.005)</f>
        <v>1</v>
      </c>
    </row>
    <row r="12" customFormat="false" ht="15" hidden="false" customHeight="false" outlineLevel="0" collapsed="false">
      <c r="A12" s="4" t="s">
        <v>332</v>
      </c>
      <c r="D12" s="63" t="b">
        <f aca="false">AND(D5:D10)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3" t="s">
        <v>333</v>
      </c>
    </row>
    <row r="2" customFormat="false" ht="15" hidden="false" customHeight="false" outlineLevel="0" collapsed="false">
      <c r="A2" s="3" t="s">
        <v>334</v>
      </c>
    </row>
    <row r="4" customFormat="false" ht="15" hidden="false" customHeight="false" outlineLevel="0" collapsed="false">
      <c r="A4" s="16" t="s">
        <v>335</v>
      </c>
      <c r="B4" s="17" t="s">
        <v>336</v>
      </c>
      <c r="C4" s="17" t="s">
        <v>337</v>
      </c>
      <c r="D4" s="17" t="s">
        <v>338</v>
      </c>
    </row>
    <row r="5" customFormat="false" ht="15" hidden="false" customHeight="false" outlineLevel="0" collapsed="false">
      <c r="A5" s="8" t="s">
        <v>339</v>
      </c>
      <c r="B5" s="8" t="s">
        <v>340</v>
      </c>
      <c r="C5" s="8" t="s">
        <v>341</v>
      </c>
      <c r="D5" s="8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2026-10-27T20:59:59Z</dcterms:created>
  <dc:creator>openpyxl</dc:creator>
  <dc:description/>
  <dc:language>en-US</dc:language>
  <cp:lastModifiedBy/>
  <dcterms:modified xsi:type="dcterms:W3CDTF">2026-10-27T20:59:59Z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