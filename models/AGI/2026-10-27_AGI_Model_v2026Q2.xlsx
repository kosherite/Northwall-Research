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Model" sheetId="3" state="visible" r:id="rId5"/>
    <sheet name="Valuation" sheetId="4" state="visible" r:id="rId6"/>
    <sheet name="NAV" sheetId="5" state="visible" r:id="rId7"/>
    <sheet name="Sensitivity" sheetId="6" state="visible" r:id="rId8"/>
    <sheet name="Ratios" sheetId="7" state="visible" r:id="rId9"/>
    <sheet name="Comps" sheetId="8" state="visible" r:id="rId10"/>
    <sheet name="Checks" sheetId="9" state="visible" r:id="rId11"/>
    <sheet name="Lo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<sst xmlns="http://schemas.openxmlformats.org/spreadsheetml/2006/main" count="445" uniqueCount="318">
  <si>
    <t xml:space="preserve">NORTHWALL RESEARCH</t>
  </si>
  <si>
    <t xml:space="preserve">Alamos Gold Inc. (AGI)</t>
  </si>
  <si>
    <t xml:space="preserve">Gold producers · Analyst: Basel Al-Ghousein · Model version v2026Q2 · Built 2026-10-27</t>
  </si>
  <si>
    <t xml:space="preserve">Rating</t>
  </si>
  <si>
    <t xml:space="preserve">Price target (USD)</t>
  </si>
  <si>
    <t xml:space="preserve">Share price (USD), NYSE close Oct 26, 2026 (Stock Analysis)</t>
  </si>
  <si>
    <t xml:space="preserve">Implied all-in return</t>
  </si>
  <si>
    <t xml:space="preserve">Valuation method 1</t>
  </si>
  <si>
    <t xml:space="preserve">Valuation method 2</t>
  </si>
  <si>
    <t xml:space="preserve">DCF cross-check per share</t>
  </si>
  <si>
    <t xml:space="preserve">Cost of equity (CAPM)</t>
  </si>
  <si>
    <t xml:space="preserve">Market-implied growth</t>
  </si>
  <si>
    <t xml:space="preserve">All integrity checks pass</t>
  </si>
  <si>
    <t xml:space="preserve">Colour code</t>
  </si>
  <si>
    <t xml:space="preserve">Blue: typed input with a source (Inputs sheet only)</t>
  </si>
  <si>
    <t xml:space="preserve">Black: formula</t>
  </si>
  <si>
    <t xml:space="preserve">Green: link to another sheet</t>
  </si>
  <si>
    <t xml:space="preserve">Yellow fill: key assumption or output</t>
  </si>
  <si>
    <t xml:space="preserve">Sheets</t>
  </si>
  <si>
    <t xml:space="preserve">Inputs</t>
  </si>
  <si>
    <t xml:space="preserve">Every typed number, with its source</t>
  </si>
  <si>
    <t xml:space="preserve">Model</t>
  </si>
  <si>
    <t xml:space="preserve">Operations and financials, H1 actual + H2 estimate</t>
  </si>
  <si>
    <t xml:space="preserve">Valuation</t>
  </si>
  <si>
    <t xml:space="preserve">Target methods, CAPM/WACC, DCF, reverse DCF, residual income, justified P/E</t>
  </si>
  <si>
    <t xml:space="preserve">NAV</t>
  </si>
  <si>
    <t xml:space="preserve">Asset-life cash flows (resource names)</t>
  </si>
  <si>
    <t xml:space="preserve">Sensitivity</t>
  </si>
  <si>
    <t xml:space="preserve">Target and DCF grids</t>
  </si>
  <si>
    <t xml:space="preserve">Ratios</t>
  </si>
  <si>
    <t xml:space="preserve">DuPont, cash conversion, leverage, payout</t>
  </si>
  <si>
    <t xml:space="preserve">Comps</t>
  </si>
  <si>
    <t xml:space="preserve">Peer table</t>
  </si>
  <si>
    <t xml:space="preserve">Checks</t>
  </si>
  <si>
    <t xml:space="preserve">Integrity checks; all must be TRUE</t>
  </si>
  <si>
    <t xml:space="preserve">Log</t>
  </si>
  <si>
    <t xml:space="preserve">Every change, dated, with its reason</t>
  </si>
  <si>
    <t xml:space="preserve">Alamos Gold Inc. (AGI) — Inputs</t>
  </si>
  <si>
    <t xml:space="preserve">Every typed number in the model lives here, in blue, with its source. Change inputs here only.</t>
  </si>
  <si>
    <t xml:space="preserve">House price deck (from data/price_deck.yaml)</t>
  </si>
  <si>
    <t xml:space="preserve">Input</t>
  </si>
  <si>
    <t xml:space="preserve">Unit</t>
  </si>
  <si>
    <t xml:space="preserve">2025A</t>
  </si>
  <si>
    <t xml:space="preserve">H1-26A</t>
  </si>
  <si>
    <t xml:space="preserve">H2-26E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</si>
  <si>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</si>
  <si>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</si>
  <si>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</si>
  <si>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</si>
  <si>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</si>
  <si>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Source</t>
  </si>
  <si>
    <t xml:space="preserve">Gold price, house deck</t>
  </si>
  <si>
    <t xml:space="preserve">US$/oz</t>
  </si>
  <si>
    <t xml:space="preserve">Northwall deck: Q3-26 ~4,350 and Q4-26 4,050 (avg 4,200); spot ~US$4,000 on Oct 23, 2026 (pricegold.net); steps to a 3,500 long-term real price</t>
  </si>
  <si>
    <t xml:space="preserve">Company drivers by period</t>
  </si>
  <si>
    <t xml:space="preserve">Gold production</t>
  </si>
  <si>
    <t xml:space="preserve">koz</t>
  </si>
  <si>
    <t xml:space="preserve">2025A: Q4-25 release. H1-26A: Q2-26 release. H2-26E: Northwall, inside revised 510-560k guidance. 2027E+: Northwall, below original 3-yr guidance (650-730k, 755-835k) and the ~1 Moz by 2030 target</t>
  </si>
  <si>
    <t xml:space="preserve">Realized gold price, reported</t>
  </si>
  <si>
    <t xml:space="preserve">Q4-25 release; Q2-26 release</t>
  </si>
  <si>
    <t xml:space="preserve">Revenue, reported</t>
  </si>
  <si>
    <t xml:space="preserve">US$M</t>
  </si>
  <si>
    <t xml:space="preserve">AISC</t>
  </si>
  <si>
    <t xml:space="preserve">Reported 2025 and H1-26; H2-26E implied by the US$1,825 guidance midpoint; Northwall thereafter (IGD expansion AISC US$1,025, Lynn Lake US$829 per company)</t>
  </si>
  <si>
    <t xml:space="preserve">Adjusted EPS, reported</t>
  </si>
  <si>
    <t xml:space="preserve">US$</t>
  </si>
  <si>
    <t xml:space="preserve">Operating cash flow, reported</t>
  </si>
  <si>
    <t xml:space="preserve">Free cash flow, reported</t>
  </si>
  <si>
    <t xml:space="preserve">Growth capital</t>
  </si>
  <si>
    <t xml:space="preserve">Northwall: 2026 guidance US$657-720M less H1; Lynn Lake US$871M remaining, IGD mill, PDA</t>
  </si>
  <si>
    <t xml:space="preserve">Capitalized exploration</t>
  </si>
  <si>
    <t xml:space="preserve">2026 guidance US$60M</t>
  </si>
  <si>
    <t xml:space="preserve">Basic shares</t>
  </si>
  <si>
    <t xml:space="preserve">M</t>
  </si>
  <si>
    <t xml:space="preserve">Weighted basic shares per filings; Mar 31 count 419.96M less 1.40M bought back in Q2</t>
  </si>
  <si>
    <t xml:space="preserve">Dividend per share</t>
  </si>
  <si>
    <t xml:space="preserve">US$0.04 quarterly after the Q1-26 increase</t>
  </si>
  <si>
    <t xml:space="preserve">Share buybacks</t>
  </si>
  <si>
    <t xml:space="preserve">Northwall: Q2-26 pace for H2; none assumed thereafter</t>
  </si>
  <si>
    <t xml:space="preserve">Net debt, reported (negative = net cash)</t>
  </si>
  <si>
    <t xml:space="preserve">Cash US$636.9M (Jun 30, 2026) less US$200M drawn (Mar 31, 2026 statements)</t>
  </si>
  <si>
    <t xml:space="preserve">Shareholders' equity, reported</t>
  </si>
  <si>
    <t xml:space="preserve">Mar 31, 2026 interim statements (proxy for Jun 30)</t>
  </si>
  <si>
    <t xml:space="preserve">Scalar inputs: market data, operating assumptions, valuation parameters</t>
  </si>
  <si>
    <t xml:space="preserve">Value</t>
  </si>
  <si>
    <t xml:space="preserve">Share price</t>
  </si>
  <si>
    <t xml:space="preserve">NYSE close Oct 26, 2026 (Stock Analysis)</t>
  </si>
  <si>
    <t xml:space="preserve">Model currency per listing currency</t>
  </si>
  <si>
    <t xml:space="preserve">Same currency</t>
  </si>
  <si>
    <t xml:space="preserve">Basic shares outstanding</t>
  </si>
  <si>
    <t xml:space="preserve">Latest company filing</t>
  </si>
  <si>
    <t xml:space="preserve">Net debt at last balance sheet (negative = net cash)</t>
  </si>
  <si>
    <t xml:space="preserve">Latest quarterly filing</t>
  </si>
  <si>
    <t xml:space="preserve">Equity beta</t>
  </si>
  <si>
    <t xml:space="preserve">Northwall assumption pending sourcing</t>
  </si>
  <si>
    <t xml:space="preserve">Pre-tax cost of debt</t>
  </si>
  <si>
    <t xml:space="preserve">Northwall assumption: credit facility pricing</t>
  </si>
  <si>
    <t xml:space="preserve">Marginal tax rate</t>
  </si>
  <si>
    <t xml:space="preserve">Statutory combined rate</t>
  </si>
  <si>
    <t xml:space="preserve">Gross debt</t>
  </si>
  <si>
    <t xml:space="preserve">Weight on valuation method 1</t>
  </si>
  <si>
    <t xml:space="preserve">Northwall method: equal weight</t>
  </si>
  <si>
    <t xml:space="preserve">Target multiple, method 1</t>
  </si>
  <si>
    <t xml:space="preserve">Northwall: in line with intermediate producers at a long-term deck below spot</t>
  </si>
  <si>
    <t xml:space="preserve">Target multiple, method 2</t>
  </si>
  <si>
    <t xml:space="preserve">Northwall: below Alamos trailing 13.7x, above Kinross 5.8x</t>
  </si>
  <si>
    <t xml:space="preserve">Next-12-month dividend per share</t>
  </si>
  <si>
    <t xml:space="preserve">US$0.04 quarterly (Q2-26 release)</t>
  </si>
  <si>
    <t xml:space="preserve">Target rounding increment</t>
  </si>
  <si>
    <t xml:space="preserve">House style</t>
  </si>
  <si>
    <t xml:space="preserve">Buy threshold: expected 12-month total return</t>
  </si>
  <si>
    <t xml:space="preserve">Northwall rating definitions</t>
  </si>
  <si>
    <t xml:space="preserve">Terminal growth for DCF cross-check (nominal)</t>
  </si>
  <si>
    <t xml:space="preserve">Northwall: 0% for depleting oil assets, 2% for long-life gold portfolios</t>
  </si>
  <si>
    <t xml:space="preserve">Investments not captured in FCFF</t>
  </si>
  <si>
    <t xml:space="preserve">Balance sheet</t>
  </si>
  <si>
    <t xml:space="preserve">Effective income and mining tax rate</t>
  </si>
  <si>
    <t xml:space="preserve">Northwall: Canadian and Mexican income and mining taxes</t>
  </si>
  <si>
    <t xml:space="preserve">Sustaining capital per oz (inside AISC)</t>
  </si>
  <si>
    <t xml:space="preserve">Northwall: 2026 sustaining guidance US$228-255M / ~535k oz</t>
  </si>
  <si>
    <t xml:space="preserve">Depreciation in excess of sustaining capital</t>
  </si>
  <si>
    <t xml:space="preserve">Northwall: calibrated to H1-26 adjusted EPS</t>
  </si>
  <si>
    <t xml:space="preserve">NAV: production held flat 2031-2036</t>
  </si>
  <si>
    <t xml:space="preserve">Northwall</t>
  </si>
  <si>
    <t xml:space="preserve">NAV: annual decline after 2036</t>
  </si>
  <si>
    <t xml:space="preserve">Northwall; 15.9 Moz reserves at YE2025</t>
  </si>
  <si>
    <t xml:space="preserve">NAV: long-term AISC</t>
  </si>
  <si>
    <t xml:space="preserve">NAV: long-term exploration</t>
  </si>
  <si>
    <t xml:space="preserve">NAV discount rate (real)</t>
  </si>
  <si>
    <t xml:space="preserve">Northwall house rate for precious metals</t>
  </si>
  <si>
    <t xml:space="preserve">Gold, long-term real</t>
  </si>
  <si>
    <t xml:space="preserve">Northwall deck</t>
  </si>
  <si>
    <t xml:space="preserve">Risk-free rate (US 10-yr Treasury)</t>
  </si>
  <si>
    <t xml:space="preserve">%</t>
  </si>
  <si>
    <t xml:space="preserve">US 10-yr close 4.969% on Oct 26, 2026 (Mortgage News Daily)</t>
  </si>
  <si>
    <t xml:space="preserve">Equity risk premium</t>
  </si>
  <si>
    <t xml:space="preserve">Northwall assumption; within the 4-6% range of common historical and survey estimates (CFA L2 Return Concepts)</t>
  </si>
  <si>
    <t xml:space="preserve">Alamos Gold Inc. — Operating and financial model (USD millions unless noted)</t>
  </si>
  <si>
    <t xml:space="preserve">H1-26A = reported six months; H2-26E = Northwall estimate; 2026E = H1 + H2. All cells are formulas.</t>
  </si>
  <si>
    <t xml:space="preserve">Line</t>
  </si>
  <si>
    <t xml:space="preserve">Method</t>
  </si>
  <si>
    <t xml:space="preserve">Production and costs</t>
  </si>
  <si>
    <t xml:space="preserve">Realized gold price</t>
  </si>
  <si>
    <t xml:space="preserve">Actuals as reported; forecasts at the house deck</t>
  </si>
  <si>
    <t xml:space="preserve">All-in sustaining cost</t>
  </si>
  <si>
    <t xml:space="preserve">AISC margin</t>
  </si>
  <si>
    <t xml:space="preserve">Income statement</t>
  </si>
  <si>
    <t xml:space="preserve">Revenue</t>
  </si>
  <si>
    <t xml:space="preserve">Income and mining taxes</t>
  </si>
  <si>
    <t xml:space="preserve">Effective rate on AISC margin</t>
  </si>
  <si>
    <t xml:space="preserve">Adjusted EPS</t>
  </si>
  <si>
    <t xml:space="preserve">Depreciation in excess of sustaining capital deducted</t>
  </si>
  <si>
    <t xml:space="preserve">Adjusted net income</t>
  </si>
  <si>
    <t xml:space="preserve">Cash flow</t>
  </si>
  <si>
    <t xml:space="preserve">Operating cash flow</t>
  </si>
  <si>
    <t xml:space="preserve">Cash flow per share</t>
  </si>
  <si>
    <t xml:space="preserve">Sustaining capital</t>
  </si>
  <si>
    <t xml:space="preserve">Free cash flow</t>
  </si>
  <si>
    <t xml:space="preserve">Free cash flow to the firm</t>
  </si>
  <si>
    <t xml:space="preserve">After-tax interest on US$200M is immaterial</t>
  </si>
  <si>
    <t xml:space="preserve">Dividends paid</t>
  </si>
  <si>
    <t xml:space="preserve">Net debt (negative = net cash)</t>
  </si>
  <si>
    <t xml:space="preserve">Shareholders' equity, period end</t>
  </si>
  <si>
    <t xml:space="preserve">H1 uses Mar 31, 2026 reported equity as a proxy</t>
  </si>
  <si>
    <t xml:space="preserve">Alamos Gold Inc. — Valuation and price target</t>
  </si>
  <si>
    <t xml:space="preserve">Target methods first; CFA Level II cross-checks (DCF, reverse DCF, residual income, justified P/E) follow.</t>
  </si>
  <si>
    <t xml:space="preserve">Market data</t>
  </si>
  <si>
    <t xml:space="preserve">Share price (USD)</t>
  </si>
  <si>
    <t xml:space="preserve">Share price in model currency (USD)</t>
  </si>
  <si>
    <t xml:space="preserve">Converted when the listing currency differs from the reporting currency</t>
  </si>
  <si>
    <t xml:space="preserve">Basic shares outstanding (M)</t>
  </si>
  <si>
    <t xml:space="preserve">Market capitalization (M)</t>
  </si>
  <si>
    <t xml:space="preserve">Net debt (cash) at last balance sheet (M)</t>
  </si>
  <si>
    <t xml:space="preserve">Negative = net cash</t>
  </si>
  <si>
    <t xml:space="preserve">Enterprise value (M)</t>
  </si>
  <si>
    <t xml:space="preserve">Market cap + net debt</t>
  </si>
  <si>
    <t xml:space="preserve">Required return on equity (CAPM) and WACC — CFA L2 Equity: Return Concepts; Corporate Issuers: Cost of Capital</t>
  </si>
  <si>
    <t xml:space="preserve">Risk-free rate (US 10-yr)</t>
  </si>
  <si>
    <t xml:space="preserve">House deck</t>
  </si>
  <si>
    <t xml:space="preserve">Cost of equity: rf + beta x ERP</t>
  </si>
  <si>
    <t xml:space="preserve">CAPM</t>
  </si>
  <si>
    <t xml:space="preserve">Debt weight: D / (D + E), market values</t>
  </si>
  <si>
    <t xml:space="preserve">Gross debt at market cap</t>
  </si>
  <si>
    <t xml:space="preserve">WACC</t>
  </si>
  <si>
    <t xml:space="preserve">ke x E/V + kd x (1 - t) x D/V</t>
  </si>
  <si>
    <t xml:space="preserve">Target method 1: P/NAV — method 2: P/CF</t>
  </si>
  <si>
    <t xml:space="preserve">NAV per share (NAV sheet)</t>
  </si>
  <si>
    <t xml:space="preserve">Target P/NAV multiple</t>
  </si>
  <si>
    <t xml:space="preserve">Method 1 value per share</t>
  </si>
  <si>
    <t xml:space="preserve">Cash flow per share, 2027E</t>
  </si>
  <si>
    <t xml:space="preserve">Target P/CF multiple, 2027E</t>
  </si>
  <si>
    <t xml:space="preserve">Method 2 value per share</t>
  </si>
  <si>
    <t xml:space="preserve">Price target and rating</t>
  </si>
  <si>
    <t xml:space="preserve">Weight on method 1</t>
  </si>
  <si>
    <t xml:space="preserve">Weight on method 2</t>
  </si>
  <si>
    <t xml:space="preserve">Blended value per share (USD)</t>
  </si>
  <si>
    <t xml:space="preserve">Converted to listing currency</t>
  </si>
  <si>
    <t xml:space="preserve">12-month price target (USD), rounded</t>
  </si>
  <si>
    <t xml:space="preserve">Rounded to the house increment</t>
  </si>
  <si>
    <t xml:space="preserve">Next-12-month dividend per share (listing currency)</t>
  </si>
  <si>
    <t xml:space="preserve">Implied price return</t>
  </si>
  <si>
    <t xml:space="preserve">Dividend yield</t>
  </si>
  <si>
    <t xml:space="preserve">Rating bands: Buy &gt; 15%, Hold 0–15%, Sell &lt; 0%</t>
  </si>
  <si>
    <t xml:space="preserve">Cross-check 1: two-stage FCFF DCF — CFA L2 Equity: Free Cash Flow Valuation</t>
  </si>
  <si>
    <t xml:space="preserve">Valuation date: Dec 31, 2026. FCFF discounted at WACC, end-year; Gordon growth terminal value on 2030E FCFF.</t>
  </si>
  <si>
    <t xml:space="preserve">Year</t>
  </si>
  <si>
    <t xml:space="preserve">FCFF (USD M)</t>
  </si>
  <si>
    <t xml:space="preserve">Discount factor</t>
  </si>
  <si>
    <t xml:space="preserve">Present value</t>
  </si>
  <si>
    <t xml:space="preserve">Terminal growth, nominal</t>
  </si>
  <si>
    <t xml:space="preserve">PV of 2027E–2030E FCFF</t>
  </si>
  <si>
    <t xml:space="preserve">Terminal value at 2030</t>
  </si>
  <si>
    <t xml:space="preserve">FCFF 2030 x (1 + g) / (WACC - g)</t>
  </si>
  <si>
    <t xml:space="preserve">PV of terminal value</t>
  </si>
  <si>
    <t xml:space="preserve">Enterprise value (DCF)</t>
  </si>
  <si>
    <t xml:space="preserve">Less: net debt at Dec 31, 2026E</t>
  </si>
  <si>
    <t xml:space="preserve">From Model</t>
  </si>
  <si>
    <t xml:space="preserve">Plus: investments not in FCFF</t>
  </si>
  <si>
    <t xml:space="preserve">DCF value per share (USD)</t>
  </si>
  <si>
    <t xml:space="preserve">Cross-check only; not in the target weights</t>
  </si>
  <si>
    <t xml:space="preserve">DCF value vs. share price</t>
  </si>
  <si>
    <t xml:space="preserve">Terminal value share of EV</t>
  </si>
  <si>
    <t xml:space="preserve">A high share means the answer rests on long-run assumptions</t>
  </si>
  <si>
    <t xml:space="preserve">Cross-check 2: market-implied growth (reverse Gordon) — CFA L2 Equity: DDM / FCF valuation</t>
  </si>
  <si>
    <t xml:space="preserve">Next-year cash flow per share, 2027E (USD)</t>
  </si>
  <si>
    <t xml:space="preserve">Free cash flow to equity proxy</t>
  </si>
  <si>
    <t xml:space="preserve">Growth rate implied by today's price: ke - CF1 / P</t>
  </si>
  <si>
    <t xml:space="preserve">Compare with the growth the model actually forecasts</t>
  </si>
  <si>
    <t xml:space="preserve">Cross-check 3: residual income — CFA L2 Equity: Residual Income Valuation</t>
  </si>
  <si>
    <t xml:space="preserve">RI = NI - ke x opening book value. Terminal RI held flat in perpetuity (persistence = 1), discounted at ke.</t>
  </si>
  <si>
    <t xml:space="preserve">Net income</t>
  </si>
  <si>
    <t xml:space="preserve">Opening book value</t>
  </si>
  <si>
    <t xml:space="preserve">Residual income</t>
  </si>
  <si>
    <t xml:space="preserve">Discount factor (ke)</t>
  </si>
  <si>
    <t xml:space="preserve">PV of RI</t>
  </si>
  <si>
    <t xml:space="preserve">Book value at Dec 31, 2026E</t>
  </si>
  <si>
    <t xml:space="preserve">PV of 2027E–2030E residual income</t>
  </si>
  <si>
    <t xml:space="preserve">PV of terminal residual income</t>
  </si>
  <si>
    <t xml:space="preserve">Residual income value per share (USD)</t>
  </si>
  <si>
    <t xml:space="preserve">Cross-check only</t>
  </si>
  <si>
    <t xml:space="preserve">Cross-check 4: justified forward P/E — CFA L2 Equity: Market-Based Valuation</t>
  </si>
  <si>
    <t xml:space="preserve">Dividend payout ratio, 2027E</t>
  </si>
  <si>
    <t xml:space="preserve">Return on equity, 2027E</t>
  </si>
  <si>
    <t xml:space="preserve">Sustainable growth: retention x ROE</t>
  </si>
  <si>
    <t xml:space="preserve">g = b x ROE</t>
  </si>
  <si>
    <t xml:space="preserve">Justified forward P/E: payout / (ke - g)</t>
  </si>
  <si>
    <t xml:space="preserve">n/m when g &gt;= ke: a single-stage model cannot value this company</t>
  </si>
  <si>
    <t xml:space="preserve">Actual forward P/E, 2027E</t>
  </si>
  <si>
    <t xml:space="preserve">Alamos Gold Inc. — Net asset value (5% real, Dec 31, 2026)</t>
  </si>
  <si>
    <t xml:space="preserve">Production per Model to 2030E, flat to 2036, then a 7% annual decline to 2050.</t>
  </si>
  <si>
    <t xml:space="preserve">Gold price</t>
  </si>
  <si>
    <t xml:space="preserve">Exploration</t>
  </si>
  <si>
    <t xml:space="preserve">After-tax free cash flow</t>
  </si>
  <si>
    <t xml:space="preserve">Discount factor (mid-year)</t>
  </si>
  <si>
    <t xml:space="preserve">NAV summary</t>
  </si>
  <si>
    <t xml:space="preserve">Operating mines and projects</t>
  </si>
  <si>
    <t xml:space="preserve">Net cash, Dec 31, 2026E</t>
  </si>
  <si>
    <t xml:space="preserve">Net asset value</t>
  </si>
  <si>
    <t xml:space="preserve">NAV per share (US$)</t>
  </si>
  <si>
    <t xml:space="preserve">Alamos Gold Inc. — Sensitivity</t>
  </si>
  <si>
    <t xml:space="preserve">Every cell is a live formula on the model; nothing is pasted.</t>
  </si>
  <si>
    <t xml:space="preserve">Price target (USD, before rounding) vs. the two valuation multiples</t>
  </si>
  <si>
    <t xml:space="preserve">P/NAV down, P/CF 2027E across</t>
  </si>
  <si>
    <t xml:space="preserve">DCF value per share vs. WACC (down) and terminal growth (across)</t>
  </si>
  <si>
    <t xml:space="preserve">Alamos Gold Inc. — Financial analysis ratios</t>
  </si>
  <si>
    <t xml:space="preserve">CFA L2 Financial Statement Analysis: DuPont, cash conversion, leverage and payout. Formulas on the Model sheet.</t>
  </si>
  <si>
    <t xml:space="preserve">Ratio</t>
  </si>
  <si>
    <t xml:space="preserve">Reading</t>
  </si>
  <si>
    <t xml:space="preserve">AISC margin (% of gold price)</t>
  </si>
  <si>
    <t xml:space="preserve">Free cash flow conversion (FCF / OCF)</t>
  </si>
  <si>
    <t xml:space="preserve">Reinvestment rate ((growth capital + exploration) / OCF)</t>
  </si>
  <si>
    <t xml:space="preserve">Return on average equity</t>
  </si>
  <si>
    <t xml:space="preserve">Equity rolled forward from a Q1-26 proxy; directional only</t>
  </si>
  <si>
    <t xml:space="preserve">Dividend payout (DPS / EPS)</t>
  </si>
  <si>
    <t xml:space="preserve">Net debt / OCF</t>
  </si>
  <si>
    <t xml:space="preserve">Alamos Gold Inc. — Peer comparison</t>
  </si>
  <si>
    <t xml:space="preserve">Gold peers, Q2-26 annualized. Prices as of Oct 26, 2026.</t>
  </si>
  <si>
    <t xml:space="preserve">Company</t>
  </si>
  <si>
    <t xml:space="preserve">Ticker</t>
  </si>
  <si>
    <t xml:space="preserve">Price (US$)</t>
  </si>
  <si>
    <t xml:space="preserve">Mkt cap (US$B)</t>
  </si>
  <si>
    <t xml:space="preserve">P/E</t>
  </si>
  <si>
    <t xml:space="preserve">P/CF</t>
  </si>
  <si>
    <t xml:space="preserve">AISC (US$/oz)</t>
  </si>
  <si>
    <t xml:space="preserve">FCF yield</t>
  </si>
  <si>
    <t xml:space="preserve">Alamos Gold</t>
  </si>
  <si>
    <t xml:space="preserve">AGI</t>
  </si>
  <si>
    <t xml:space="preserve">4.5%</t>
  </si>
  <si>
    <t xml:space="preserve">Agnico Eagle</t>
  </si>
  <si>
    <t xml:space="preserve">AEM</t>
  </si>
  <si>
    <t xml:space="preserve">6.1%</t>
  </si>
  <si>
    <t xml:space="preserve">Kinross Gold</t>
  </si>
  <si>
    <t xml:space="preserve">KGC</t>
  </si>
  <si>
    <t xml:space="preserve">10.9%</t>
  </si>
  <si>
    <t xml:space="preserve">Source: Company Q2-26 filings; Northwall calculations</t>
  </si>
  <si>
    <t xml:space="preserve">Alamos Gold Inc. — Model integrity checks</t>
  </si>
  <si>
    <t xml:space="preserve">Every check should read TRUE before anything is published.</t>
  </si>
  <si>
    <t xml:space="preserve">Check</t>
  </si>
  <si>
    <t xml:space="preserve">Expected</t>
  </si>
  <si>
    <t xml:space="preserve">Pass</t>
  </si>
  <si>
    <t xml:space="preserve">Price target equals the published target</t>
  </si>
  <si>
    <t xml:space="preserve">Rating equals the published rating</t>
  </si>
  <si>
    <t xml:space="preserve">Buy</t>
  </si>
  <si>
    <t xml:space="preserve">NAV per share equals the published NAVPS</t>
  </si>
  <si>
    <t xml:space="preserve">2026E adjusted EPS equals the published estimate</t>
  </si>
  <si>
    <t xml:space="preserve">2027E CFPS equals the published estimate</t>
  </si>
  <si>
    <t xml:space="preserve">2028E free cash flow equals the published estimate</t>
  </si>
  <si>
    <t xml:space="preserve">All checks pass</t>
  </si>
  <si>
    <t xml:space="preserve">Model change log</t>
  </si>
  <si>
    <t xml:space="preserve">Newest first. One row per change; never delete rows.</t>
  </si>
  <si>
    <t xml:space="preserve">Date</t>
  </si>
  <si>
    <t xml:space="preserve">Version</t>
  </si>
  <si>
    <t xml:space="preserve">Change</t>
  </si>
  <si>
    <t xml:space="preserve">Effect on target</t>
  </si>
  <si>
    <t xml:space="preserve">2026-10-27</t>
  </si>
  <si>
    <t xml:space="preserve">v2026Q2</t>
  </si>
  <si>
    <t xml:space="preserve">Model built on house template from Q2-26 filings; ties to the published 2026-10-27 report</t>
  </si>
  <si>
    <t xml:space="preserve">Target US$39, Buy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</si>
</sst>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@"/>
    <numFmt numFmtId="166" formatCode="#,##0.00;\(#,##0.00\);\-"/>
    <numFmt numFmtId="167" formatCode="0.0%;\(0.0%\);\-"/>
    <numFmt numFmtId="168" formatCode="#,##0;\(#,##0\);\-"/>
    <numFmt numFmtId="169" formatCode="#,##0.0;\(#,##0.0\);\-"/>
    <numFmt numFmtId="170" formatCode="0.000"/>
    <numFmt numFmtId="171" formatCode="0.0\x"/>
    <numFmt numFmtId="172" formatCode="0.0\x"/>
    <numFmt numFmtId="173" formatCode="0.00\x"/>
    <numFmt numFmtId="174" formatCode="0.0%"/>
    <numFmt numFmtId="175" formatCode="#,##0.00"/>
    <numFmt numFmtId="17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F5D7C"/>
      <name val="Arial"/>
      <family val="0"/>
      <charset val="1"/>
    </font>
    <font>
      <b val="true"/>
      <sz val="16"/>
      <color rgb="FF0F1A2B"/>
      <name val="Arial"/>
      <family val="0"/>
      <charset val="1"/>
    </font>
    <font>
      <i val="true"/>
      <sz val="8"/>
      <color rgb="FF5A6B7C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2"/>
      <charset val="1"/>
    </font>
    <font>
      <b val="true"/>
      <sz val="14"/>
      <color rgb="FF0F1A2B"/>
      <name val="Arial"/>
      <family val="0"/>
      <charset val="1"/>
    </font>
    <font>
      <b val="true"/>
      <sz val="11"/>
      <color rgb="FF0F1A2B"/>
      <name val="Arial"/>
      <family val="0"/>
      <charset val="1"/>
    </font>
    <font>
      <b val="true"/>
      <sz val="11"/>
      <color rgb="FFF7F8F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9EEF2"/>
        <bgColor rgb="FFF7F8FA"/>
      </patternFill>
    </fill>
    <fill>
      <patternFill patternType="solid">
        <fgColor rgb="FF0F1A2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8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EEF2"/>
      <rgbColor rgb="FF660066"/>
      <rgbColor rgb="FFFF8080"/>
      <rgbColor rgb="FF0066CC"/>
      <rgbColor rgb="FFD9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C"/>
      <rgbColor rgb="FF969696"/>
      <rgbColor rgb="FF003366"/>
      <rgbColor rgb="FF339966"/>
      <rgbColor rgb="FF0F1A2B"/>
      <rgbColor rgb="FF333300"/>
      <rgbColor rgb="FF993300"/>
      <rgbColor rgb="FF993366"/>
      <rgbColor rgb="FF2F5D7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tr">
        <f aca="false">Valuation!$B$39</f>
        <v>Buy</v>
      </c>
    </row>
    <row r="6" customFormat="false" ht="15" hidden="false" customHeight="false" outlineLevel="0" collapsed="false">
      <c r="A6" s="4" t="s">
        <v>4</v>
      </c>
      <c r="B6" s="6" t="n">
        <f aca="false">Valuation!$B$34</f>
        <v>39</v>
      </c>
    </row>
    <row r="7" customFormat="false" ht="15" hidden="false" customHeight="false" outlineLevel="0" collapsed="false">
      <c r="A7" s="4" t="s">
        <v>5</v>
      </c>
      <c r="B7" s="6" t="n">
        <f aca="false">Valuation!$B$5</f>
        <v>30.21</v>
      </c>
    </row>
    <row r="8" customFormat="false" ht="15" hidden="false" customHeight="false" outlineLevel="0" collapsed="false">
      <c r="A8" s="4" t="s">
        <v>6</v>
      </c>
      <c r="B8" s="7" t="n">
        <f aca="false">Valuation!$B$38</f>
        <v>0.296259516716319</v>
      </c>
    </row>
    <row r="9" customFormat="false" ht="15" hidden="false" customHeight="false" outlineLevel="0" collapsed="false">
      <c r="A9" s="4" t="s">
        <v>7</v>
      </c>
      <c r="B9" s="6" t="n">
        <f aca="false">Valuation!$B$25</f>
        <v>42.3530845644591</v>
      </c>
    </row>
    <row r="10" customFormat="false" ht="15" hidden="false" customHeight="false" outlineLevel="0" collapsed="false">
      <c r="A10" s="4" t="s">
        <v>8</v>
      </c>
      <c r="B10" s="6" t="n">
        <f aca="false">Valuation!$B$28</f>
        <v>34.9737219302437</v>
      </c>
    </row>
    <row r="11" customFormat="false" ht="15" hidden="false" customHeight="false" outlineLevel="0" collapsed="false">
      <c r="A11" s="4" t="s">
        <v>9</v>
      </c>
      <c r="B11" s="6" t="n">
        <f aca="false">Valuation!$B$55</f>
        <v>42.9251891274739</v>
      </c>
    </row>
    <row r="12" customFormat="false" ht="15" hidden="false" customHeight="false" outlineLevel="0" collapsed="false">
      <c r="A12" s="4" t="s">
        <v>10</v>
      </c>
      <c r="B12" s="7" t="n">
        <f aca="false">Valuation!$B$16</f>
        <v>0.0997</v>
      </c>
    </row>
    <row r="13" customFormat="false" ht="15" hidden="false" customHeight="false" outlineLevel="0" collapsed="false">
      <c r="A13" s="4" t="s">
        <v>11</v>
      </c>
      <c r="B13" s="7" t="n">
        <f aca="false">Valuation!$B$61</f>
        <v>-0.016068692255027</v>
      </c>
    </row>
    <row r="14" customFormat="false" ht="15" hidden="false" customHeight="false" outlineLevel="0" collapsed="false">
      <c r="A14" s="4" t="s">
        <v>12</v>
      </c>
      <c r="B14" s="5" t="str">
        <f aca="false">IF(Checks!$D$12,"Yes","NO - see Checks")</f>
        <v>Yes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8" t="s">
        <v>14</v>
      </c>
    </row>
    <row r="18" customFormat="false" ht="15" hidden="false" customHeight="false" outlineLevel="0" collapsed="false">
      <c r="A18" s="9" t="s">
        <v>15</v>
      </c>
    </row>
    <row r="19" customFormat="false" ht="15" hidden="false" customHeight="false" outlineLevel="0" collapsed="false">
      <c r="A19" s="10" t="s">
        <v>16</v>
      </c>
    </row>
    <row r="20" customFormat="false" ht="15" hidden="false" customHeight="false" outlineLevel="0" collapsed="false">
      <c r="A20" s="11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12" t="s">
        <v>19</v>
      </c>
      <c r="B23" s="3" t="s">
        <v>20</v>
      </c>
    </row>
    <row r="24" customFormat="false" ht="15" hidden="false" customHeight="false" outlineLevel="0" collapsed="false">
      <c r="A24" s="12" t="s">
        <v>21</v>
      </c>
      <c r="B24" s="3" t="s">
        <v>22</v>
      </c>
    </row>
    <row r="25" customFormat="false" ht="15" hidden="false" customHeight="false" outlineLevel="0" collapsed="false">
      <c r="A25" s="12" t="s">
        <v>23</v>
      </c>
      <c r="B25" s="3" t="s">
        <v>24</v>
      </c>
    </row>
    <row r="26" customFormat="false" ht="15" hidden="false" customHeight="false" outlineLevel="0" collapsed="false">
      <c r="A26" s="12" t="s">
        <v>25</v>
      </c>
      <c r="B26" s="3" t="s">
        <v>26</v>
      </c>
    </row>
    <row r="27" customFormat="false" ht="15" hidden="false" customHeight="false" outlineLevel="0" collapsed="false">
      <c r="A27" s="12" t="s">
        <v>27</v>
      </c>
      <c r="B27" s="3" t="s">
        <v>28</v>
      </c>
    </row>
    <row r="28" customFormat="false" ht="15" hidden="false" customHeight="false" outlineLevel="0" collapsed="false">
      <c r="A28" s="12" t="s">
        <v>29</v>
      </c>
      <c r="B28" s="3" t="s">
        <v>30</v>
      </c>
    </row>
    <row r="29" customFormat="false" ht="15" hidden="false" customHeight="false" outlineLevel="0" collapsed="false">
      <c r="A29" s="12" t="s">
        <v>31</v>
      </c>
      <c r="B29" s="3" t="s">
        <v>32</v>
      </c>
    </row>
    <row r="30" customFormat="false" ht="15" hidden="false" customHeight="false" outlineLevel="0" collapsed="false">
      <c r="A30" s="12" t="s">
        <v>33</v>
      </c>
      <c r="B30" s="3" t="s">
        <v>34</v>
      </c>
    </row>
    <row r="31" customFormat="false" ht="15" hidden="false" customHeight="false" outlineLevel="0" collapsed="false">
      <c r="A31" s="12" t="s">
        <v>35</v>
      </c>
      <c r="B31" s="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0" min="3" style="0" width="11"/>
    <col collapsed="false" customWidth="true" hidden="false" outlineLevel="0" max="11" min="11" style="0" width="70"/>
  </cols>
  <sheetData>
    <row r="1" customFormat="false" ht="17.35" hidden="false" customHeight="false" outlineLevel="0" collapsed="false">
      <c r="A1" s="13" t="s">
        <v>37</v>
      </c>
    </row>
    <row r="2" customFormat="false" ht="15" hidden="false" customHeight="false" outlineLevel="0" collapsed="false">
      <c r="A2" s="3" t="s">
        <v>38</v>
      </c>
    </row>
    <row r="4" customFormat="false" ht="15" hidden="false" customHeight="false" outlineLevel="0" collapsed="false">
      <c r="A4" s="14" t="s">
        <v>39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customFormat="false" ht="15" hidden="false" customHeight="false" outlineLevel="0" collapsed="false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7" t="s">
        <v>47</v>
      </c>
      <c r="I5" s="17" t="s">
        <v>48</v>
      </c>
      <c r="J5" s="17" t="s">
        <v>49</v>
      </c>
      <c r="K5" s="17" t="s">
        <v>50</v>
      </c>
    </row>
    <row r="6" customFormat="false" ht="15" hidden="false" customHeight="false" outlineLevel="0" collapsed="false">
      <c r="A6" s="4" t="s">
        <v>51</v>
      </c>
      <c r="B6" s="12" t="s">
        <v>52</v>
      </c>
      <c r="E6" s="18" t="n">
        <v>4200</v>
      </c>
      <c r="G6" s="18" t="n">
        <v>4000</v>
      </c>
      <c r="H6" s="18" t="n">
        <v>3800</v>
      </c>
      <c r="I6" s="18" t="n">
        <v>3600</v>
      </c>
      <c r="J6" s="18" t="n">
        <v>3500</v>
      </c>
      <c r="K6" s="3" t="s">
        <v>53</v>
      </c>
    </row>
    <row r="8" customFormat="false" ht="15" hidden="false" customHeight="false" outlineLevel="0" collapsed="false">
      <c r="A8" s="14" t="s">
        <v>54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customFormat="false" ht="15" hidden="false" customHeight="false" outlineLevel="0" collapsed="false">
      <c r="A9" s="16" t="s">
        <v>40</v>
      </c>
      <c r="B9" s="17" t="s">
        <v>41</v>
      </c>
      <c r="C9" s="17" t="s">
        <v>42</v>
      </c>
      <c r="D9" s="17" t="s">
        <v>43</v>
      </c>
      <c r="E9" s="17" t="s">
        <v>44</v>
      </c>
      <c r="F9" s="17" t="s">
        <v>45</v>
      </c>
      <c r="G9" s="17" t="s">
        <v>46</v>
      </c>
      <c r="H9" s="17" t="s">
        <v>47</v>
      </c>
      <c r="I9" s="17" t="s">
        <v>48</v>
      </c>
      <c r="J9" s="17" t="s">
        <v>49</v>
      </c>
      <c r="K9" s="17" t="s">
        <v>50</v>
      </c>
    </row>
    <row r="10" customFormat="false" ht="15" hidden="false" customHeight="false" outlineLevel="0" collapsed="false">
      <c r="A10" s="12" t="s">
        <v>55</v>
      </c>
      <c r="B10" s="12" t="s">
        <v>56</v>
      </c>
      <c r="C10" s="19" t="n">
        <v>545.4</v>
      </c>
      <c r="D10" s="19" t="n">
        <v>254.5</v>
      </c>
      <c r="E10" s="19" t="n">
        <v>280.5</v>
      </c>
      <c r="G10" s="19" t="n">
        <v>640</v>
      </c>
      <c r="H10" s="19" t="n">
        <v>770</v>
      </c>
      <c r="I10" s="19" t="n">
        <v>870</v>
      </c>
      <c r="J10" s="19" t="n">
        <v>960</v>
      </c>
      <c r="K10" s="3" t="s">
        <v>57</v>
      </c>
    </row>
    <row r="11" customFormat="false" ht="15" hidden="false" customHeight="false" outlineLevel="0" collapsed="false">
      <c r="A11" s="12" t="s">
        <v>58</v>
      </c>
      <c r="B11" s="12" t="s">
        <v>52</v>
      </c>
      <c r="C11" s="18" t="n">
        <v>3372</v>
      </c>
      <c r="D11" s="18" t="n">
        <v>4660</v>
      </c>
      <c r="K11" s="3" t="s">
        <v>59</v>
      </c>
    </row>
    <row r="12" customFormat="false" ht="15" hidden="false" customHeight="false" outlineLevel="0" collapsed="false">
      <c r="A12" s="12" t="s">
        <v>60</v>
      </c>
      <c r="B12" s="12" t="s">
        <v>61</v>
      </c>
      <c r="C12" s="19" t="n">
        <v>1808.8</v>
      </c>
      <c r="D12" s="19" t="n">
        <v>1190.8</v>
      </c>
      <c r="K12" s="3" t="s">
        <v>59</v>
      </c>
    </row>
    <row r="13" customFormat="false" ht="15" hidden="false" customHeight="false" outlineLevel="0" collapsed="false">
      <c r="A13" s="12" t="s">
        <v>62</v>
      </c>
      <c r="B13" s="12" t="s">
        <v>52</v>
      </c>
      <c r="C13" s="18" t="n">
        <v>1524</v>
      </c>
      <c r="D13" s="18" t="n">
        <v>1793</v>
      </c>
      <c r="E13" s="18" t="n">
        <v>1855</v>
      </c>
      <c r="G13" s="18" t="n">
        <v>1550</v>
      </c>
      <c r="H13" s="18" t="n">
        <v>1350</v>
      </c>
      <c r="I13" s="18" t="n">
        <v>1250</v>
      </c>
      <c r="J13" s="18" t="n">
        <v>1200</v>
      </c>
      <c r="K13" s="3" t="s">
        <v>63</v>
      </c>
    </row>
    <row r="14" customFormat="false" ht="15" hidden="false" customHeight="false" outlineLevel="0" collapsed="false">
      <c r="A14" s="12" t="s">
        <v>64</v>
      </c>
      <c r="B14" s="12" t="s">
        <v>65</v>
      </c>
      <c r="C14" s="20" t="n">
        <v>1.4</v>
      </c>
      <c r="D14" s="20" t="n">
        <v>1.14</v>
      </c>
      <c r="K14" s="3" t="s">
        <v>59</v>
      </c>
    </row>
    <row r="15" customFormat="false" ht="15" hidden="false" customHeight="false" outlineLevel="0" collapsed="false">
      <c r="A15" s="12" t="s">
        <v>66</v>
      </c>
      <c r="B15" s="12" t="s">
        <v>61</v>
      </c>
      <c r="C15" s="19" t="n">
        <v>795.3</v>
      </c>
      <c r="D15" s="19" t="n">
        <v>474.3</v>
      </c>
      <c r="K15" s="3" t="s">
        <v>59</v>
      </c>
    </row>
    <row r="16" customFormat="false" ht="15" hidden="false" customHeight="false" outlineLevel="0" collapsed="false">
      <c r="A16" s="12" t="s">
        <v>67</v>
      </c>
      <c r="B16" s="12" t="s">
        <v>61</v>
      </c>
      <c r="C16" s="19" t="n">
        <v>351.7</v>
      </c>
      <c r="D16" s="19" t="n">
        <v>245.2</v>
      </c>
      <c r="K16" s="3" t="s">
        <v>59</v>
      </c>
    </row>
    <row r="17" customFormat="false" ht="15" hidden="false" customHeight="false" outlineLevel="0" collapsed="false">
      <c r="A17" s="12" t="s">
        <v>68</v>
      </c>
      <c r="B17" s="12" t="s">
        <v>61</v>
      </c>
      <c r="E17" s="19" t="n">
        <v>345</v>
      </c>
      <c r="G17" s="19" t="n">
        <v>600</v>
      </c>
      <c r="H17" s="19" t="n">
        <v>420</v>
      </c>
      <c r="I17" s="19" t="n">
        <v>150</v>
      </c>
      <c r="J17" s="19" t="n">
        <v>0</v>
      </c>
      <c r="K17" s="3" t="s">
        <v>69</v>
      </c>
    </row>
    <row r="18" customFormat="false" ht="15" hidden="false" customHeight="false" outlineLevel="0" collapsed="false">
      <c r="A18" s="12" t="s">
        <v>70</v>
      </c>
      <c r="B18" s="12" t="s">
        <v>61</v>
      </c>
      <c r="E18" s="19" t="n">
        <v>30</v>
      </c>
      <c r="G18" s="19" t="n">
        <v>60</v>
      </c>
      <c r="H18" s="19" t="n">
        <v>60</v>
      </c>
      <c r="I18" s="19" t="n">
        <v>60</v>
      </c>
      <c r="J18" s="19" t="n">
        <v>60</v>
      </c>
      <c r="K18" s="3" t="s">
        <v>71</v>
      </c>
    </row>
    <row r="19" customFormat="false" ht="15" hidden="false" customHeight="false" outlineLevel="0" collapsed="false">
      <c r="A19" s="12" t="s">
        <v>72</v>
      </c>
      <c r="B19" s="12" t="s">
        <v>73</v>
      </c>
      <c r="C19" s="19" t="n">
        <v>420</v>
      </c>
      <c r="D19" s="19" t="n">
        <v>419.8</v>
      </c>
      <c r="E19" s="19" t="n">
        <v>418.6</v>
      </c>
      <c r="F19" s="19" t="n">
        <v>418.6</v>
      </c>
      <c r="G19" s="19" t="n">
        <v>418.6</v>
      </c>
      <c r="H19" s="19" t="n">
        <v>418.6</v>
      </c>
      <c r="I19" s="19" t="n">
        <v>418.6</v>
      </c>
      <c r="J19" s="19" t="n">
        <v>418.6</v>
      </c>
      <c r="K19" s="3" t="s">
        <v>74</v>
      </c>
    </row>
    <row r="20" customFormat="false" ht="15" hidden="false" customHeight="false" outlineLevel="0" collapsed="false">
      <c r="A20" s="12" t="s">
        <v>75</v>
      </c>
      <c r="B20" s="12" t="s">
        <v>65</v>
      </c>
      <c r="C20" s="20" t="n">
        <v>0.1</v>
      </c>
      <c r="D20" s="20" t="n">
        <v>0.08</v>
      </c>
      <c r="E20" s="20" t="n">
        <v>0.08</v>
      </c>
      <c r="G20" s="20" t="n">
        <v>0.16</v>
      </c>
      <c r="H20" s="20" t="n">
        <v>0.16</v>
      </c>
      <c r="I20" s="20" t="n">
        <v>0.16</v>
      </c>
      <c r="J20" s="20" t="n">
        <v>0.16</v>
      </c>
      <c r="K20" s="3" t="s">
        <v>76</v>
      </c>
    </row>
    <row r="21" customFormat="false" ht="15" hidden="false" customHeight="false" outlineLevel="0" collapsed="false">
      <c r="A21" s="12" t="s">
        <v>77</v>
      </c>
      <c r="B21" s="12" t="s">
        <v>61</v>
      </c>
      <c r="E21" s="19" t="n">
        <v>50</v>
      </c>
      <c r="G21" s="19" t="n">
        <v>0</v>
      </c>
      <c r="H21" s="19" t="n">
        <v>0</v>
      </c>
      <c r="I21" s="19" t="n">
        <v>0</v>
      </c>
      <c r="J21" s="19" t="n">
        <v>0</v>
      </c>
      <c r="K21" s="3" t="s">
        <v>78</v>
      </c>
    </row>
    <row r="22" customFormat="false" ht="15" hidden="false" customHeight="false" outlineLevel="0" collapsed="false">
      <c r="A22" s="12" t="s">
        <v>79</v>
      </c>
      <c r="B22" s="12" t="s">
        <v>61</v>
      </c>
      <c r="D22" s="19" t="n">
        <v>-436.9</v>
      </c>
      <c r="K22" s="3" t="s">
        <v>80</v>
      </c>
    </row>
    <row r="23" customFormat="false" ht="15" hidden="false" customHeight="false" outlineLevel="0" collapsed="false">
      <c r="A23" s="12" t="s">
        <v>81</v>
      </c>
      <c r="B23" s="12" t="s">
        <v>61</v>
      </c>
      <c r="D23" s="19" t="n">
        <v>4607.8</v>
      </c>
      <c r="K23" s="3" t="s">
        <v>82</v>
      </c>
    </row>
    <row r="25" customFormat="false" ht="15" hidden="false" customHeight="false" outlineLevel="0" collapsed="false">
      <c r="A25" s="14" t="s">
        <v>83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customFormat="false" ht="15" hidden="false" customHeight="false" outlineLevel="0" collapsed="false">
      <c r="A26" s="16" t="s">
        <v>40</v>
      </c>
      <c r="B26" s="17" t="s">
        <v>41</v>
      </c>
      <c r="C26" s="17" t="s">
        <v>84</v>
      </c>
      <c r="D26" s="17"/>
      <c r="E26" s="17"/>
      <c r="F26" s="17"/>
      <c r="G26" s="17"/>
      <c r="H26" s="17"/>
      <c r="I26" s="17"/>
      <c r="J26" s="17"/>
      <c r="K26" s="17" t="s">
        <v>50</v>
      </c>
    </row>
    <row r="27" customFormat="false" ht="15" hidden="false" customHeight="false" outlineLevel="0" collapsed="false">
      <c r="A27" s="12" t="s">
        <v>85</v>
      </c>
      <c r="B27" s="12"/>
      <c r="C27" s="20" t="n">
        <v>30.21</v>
      </c>
      <c r="K27" s="3" t="s">
        <v>86</v>
      </c>
    </row>
    <row r="28" customFormat="false" ht="15" hidden="false" customHeight="false" outlineLevel="0" collapsed="false">
      <c r="A28" s="12" t="s">
        <v>87</v>
      </c>
      <c r="B28" s="12"/>
      <c r="C28" s="21" t="n">
        <v>1</v>
      </c>
      <c r="K28" s="3" t="s">
        <v>88</v>
      </c>
    </row>
    <row r="29" customFormat="false" ht="15" hidden="false" customHeight="false" outlineLevel="0" collapsed="false">
      <c r="A29" s="12" t="s">
        <v>89</v>
      </c>
      <c r="B29" s="12" t="s">
        <v>73</v>
      </c>
      <c r="C29" s="19" t="n">
        <v>418.6</v>
      </c>
      <c r="K29" s="3" t="s">
        <v>90</v>
      </c>
    </row>
    <row r="30" customFormat="false" ht="15" hidden="false" customHeight="false" outlineLevel="0" collapsed="false">
      <c r="A30" s="12" t="s">
        <v>91</v>
      </c>
      <c r="B30" s="12" t="s">
        <v>73</v>
      </c>
      <c r="C30" s="18" t="n">
        <v>-436.9</v>
      </c>
      <c r="K30" s="3" t="s">
        <v>92</v>
      </c>
    </row>
    <row r="31" customFormat="false" ht="15" hidden="false" customHeight="false" outlineLevel="0" collapsed="false">
      <c r="A31" s="12" t="s">
        <v>93</v>
      </c>
      <c r="B31" s="12"/>
      <c r="C31" s="22" t="n">
        <v>1</v>
      </c>
      <c r="K31" s="3" t="s">
        <v>94</v>
      </c>
    </row>
    <row r="32" customFormat="false" ht="15" hidden="false" customHeight="false" outlineLevel="0" collapsed="false">
      <c r="A32" s="12" t="s">
        <v>95</v>
      </c>
      <c r="B32" s="12"/>
      <c r="C32" s="23" t="n">
        <v>0.06</v>
      </c>
      <c r="K32" s="3" t="s">
        <v>96</v>
      </c>
    </row>
    <row r="33" customFormat="false" ht="15" hidden="false" customHeight="false" outlineLevel="0" collapsed="false">
      <c r="A33" s="12" t="s">
        <v>97</v>
      </c>
      <c r="B33" s="12"/>
      <c r="C33" s="23" t="n">
        <v>0.25</v>
      </c>
      <c r="K33" s="3" t="s">
        <v>98</v>
      </c>
    </row>
    <row r="34" customFormat="false" ht="15" hidden="false" customHeight="false" outlineLevel="0" collapsed="false">
      <c r="A34" s="12" t="s">
        <v>99</v>
      </c>
      <c r="B34" s="12" t="s">
        <v>73</v>
      </c>
      <c r="C34" s="18" t="n">
        <v>200</v>
      </c>
      <c r="K34" s="3" t="s">
        <v>92</v>
      </c>
    </row>
    <row r="35" customFormat="false" ht="15" hidden="false" customHeight="false" outlineLevel="0" collapsed="false">
      <c r="A35" s="12" t="s">
        <v>100</v>
      </c>
      <c r="B35" s="12"/>
      <c r="C35" s="23" t="n">
        <v>0.5</v>
      </c>
      <c r="K35" s="3" t="s">
        <v>101</v>
      </c>
    </row>
    <row r="36" customFormat="false" ht="15" hidden="false" customHeight="false" outlineLevel="0" collapsed="false">
      <c r="A36" s="12" t="s">
        <v>102</v>
      </c>
      <c r="B36" s="12"/>
      <c r="C36" s="22" t="n">
        <v>1</v>
      </c>
      <c r="K36" s="3" t="s">
        <v>103</v>
      </c>
    </row>
    <row r="37" customFormat="false" ht="15" hidden="false" customHeight="false" outlineLevel="0" collapsed="false">
      <c r="A37" s="12" t="s">
        <v>104</v>
      </c>
      <c r="B37" s="12"/>
      <c r="C37" s="22" t="n">
        <v>10</v>
      </c>
      <c r="K37" s="3" t="s">
        <v>105</v>
      </c>
    </row>
    <row r="38" customFormat="false" ht="15" hidden="false" customHeight="false" outlineLevel="0" collapsed="false">
      <c r="A38" s="12" t="s">
        <v>106</v>
      </c>
      <c r="B38" s="12"/>
      <c r="C38" s="20" t="n">
        <v>0.16</v>
      </c>
      <c r="K38" s="3" t="s">
        <v>107</v>
      </c>
    </row>
    <row r="39" customFormat="false" ht="15" hidden="false" customHeight="false" outlineLevel="0" collapsed="false">
      <c r="A39" s="12" t="s">
        <v>108</v>
      </c>
      <c r="B39" s="12"/>
      <c r="C39" s="20" t="n">
        <v>1</v>
      </c>
      <c r="K39" s="3" t="s">
        <v>109</v>
      </c>
    </row>
    <row r="40" customFormat="false" ht="15" hidden="false" customHeight="false" outlineLevel="0" collapsed="false">
      <c r="A40" s="12" t="s">
        <v>110</v>
      </c>
      <c r="B40" s="12"/>
      <c r="C40" s="23" t="n">
        <v>0.15</v>
      </c>
      <c r="K40" s="3" t="s">
        <v>111</v>
      </c>
    </row>
    <row r="41" customFormat="false" ht="15" hidden="false" customHeight="false" outlineLevel="0" collapsed="false">
      <c r="A41" s="12" t="s">
        <v>112</v>
      </c>
      <c r="B41" s="12"/>
      <c r="C41" s="23" t="n">
        <v>0.02</v>
      </c>
      <c r="K41" s="3" t="s">
        <v>113</v>
      </c>
    </row>
    <row r="42" customFormat="false" ht="15" hidden="false" customHeight="false" outlineLevel="0" collapsed="false">
      <c r="A42" s="12" t="s">
        <v>114</v>
      </c>
      <c r="B42" s="12" t="s">
        <v>73</v>
      </c>
      <c r="C42" s="18" t="n">
        <v>0</v>
      </c>
      <c r="K42" s="3" t="s">
        <v>115</v>
      </c>
    </row>
    <row r="43" customFormat="false" ht="15" hidden="false" customHeight="false" outlineLevel="0" collapsed="false">
      <c r="A43" s="12" t="s">
        <v>116</v>
      </c>
      <c r="B43" s="12"/>
      <c r="C43" s="23" t="n">
        <v>0.25</v>
      </c>
      <c r="K43" s="3" t="s">
        <v>117</v>
      </c>
    </row>
    <row r="44" customFormat="false" ht="15" hidden="false" customHeight="false" outlineLevel="0" collapsed="false">
      <c r="A44" s="12" t="s">
        <v>118</v>
      </c>
      <c r="B44" s="12" t="s">
        <v>52</v>
      </c>
      <c r="C44" s="18" t="n">
        <v>450</v>
      </c>
      <c r="K44" s="3" t="s">
        <v>119</v>
      </c>
    </row>
    <row r="45" customFormat="false" ht="15" hidden="false" customHeight="false" outlineLevel="0" collapsed="false">
      <c r="A45" s="12" t="s">
        <v>120</v>
      </c>
      <c r="B45" s="12" t="s">
        <v>52</v>
      </c>
      <c r="C45" s="18" t="n">
        <v>200</v>
      </c>
      <c r="K45" s="3" t="s">
        <v>121</v>
      </c>
    </row>
    <row r="46" customFormat="false" ht="15" hidden="false" customHeight="false" outlineLevel="0" collapsed="false">
      <c r="A46" s="12" t="s">
        <v>122</v>
      </c>
      <c r="B46" s="12" t="s">
        <v>56</v>
      </c>
      <c r="C46" s="18" t="n">
        <v>960</v>
      </c>
      <c r="K46" s="3" t="s">
        <v>123</v>
      </c>
    </row>
    <row r="47" customFormat="false" ht="15" hidden="false" customHeight="false" outlineLevel="0" collapsed="false">
      <c r="A47" s="12" t="s">
        <v>124</v>
      </c>
      <c r="B47" s="12"/>
      <c r="C47" s="23" t="n">
        <v>0.07</v>
      </c>
      <c r="K47" s="3" t="s">
        <v>125</v>
      </c>
    </row>
    <row r="48" customFormat="false" ht="15" hidden="false" customHeight="false" outlineLevel="0" collapsed="false">
      <c r="A48" s="12" t="s">
        <v>126</v>
      </c>
      <c r="B48" s="12" t="s">
        <v>52</v>
      </c>
      <c r="C48" s="18" t="n">
        <v>1200</v>
      </c>
      <c r="K48" s="3" t="s">
        <v>123</v>
      </c>
    </row>
    <row r="49" customFormat="false" ht="15" hidden="false" customHeight="false" outlineLevel="0" collapsed="false">
      <c r="A49" s="12" t="s">
        <v>127</v>
      </c>
      <c r="B49" s="12" t="s">
        <v>61</v>
      </c>
      <c r="C49" s="18" t="n">
        <v>30</v>
      </c>
      <c r="K49" s="3" t="s">
        <v>123</v>
      </c>
    </row>
    <row r="50" customFormat="false" ht="15" hidden="false" customHeight="false" outlineLevel="0" collapsed="false">
      <c r="A50" s="12" t="s">
        <v>128</v>
      </c>
      <c r="B50" s="12"/>
      <c r="C50" s="24" t="n">
        <v>0.05</v>
      </c>
      <c r="K50" s="3" t="s">
        <v>129</v>
      </c>
    </row>
    <row r="51" customFormat="false" ht="15" hidden="false" customHeight="false" outlineLevel="0" collapsed="false">
      <c r="A51" s="12" t="s">
        <v>130</v>
      </c>
      <c r="B51" s="12" t="s">
        <v>52</v>
      </c>
      <c r="C51" s="18" t="n">
        <v>3500</v>
      </c>
      <c r="K51" s="3" t="s">
        <v>131</v>
      </c>
    </row>
    <row r="52" customFormat="false" ht="15" hidden="false" customHeight="false" outlineLevel="0" collapsed="false">
      <c r="A52" s="12" t="s">
        <v>132</v>
      </c>
      <c r="B52" s="12" t="s">
        <v>133</v>
      </c>
      <c r="C52" s="23" t="n">
        <v>0.0497</v>
      </c>
      <c r="K52" s="3" t="s">
        <v>134</v>
      </c>
    </row>
    <row r="53" customFormat="false" ht="15" hidden="false" customHeight="false" outlineLevel="0" collapsed="false">
      <c r="A53" s="12" t="s">
        <v>135</v>
      </c>
      <c r="B53" s="12" t="s">
        <v>133</v>
      </c>
      <c r="C53" s="23" t="n">
        <v>0.05</v>
      </c>
      <c r="K53" s="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10" min="3" style="0" width="11"/>
    <col collapsed="false" customWidth="true" hidden="false" outlineLevel="0" max="11" min="11" style="0" width="52"/>
  </cols>
  <sheetData>
    <row r="1" customFormat="false" ht="17.35" hidden="false" customHeight="false" outlineLevel="0" collapsed="false">
      <c r="A1" s="13" t="s">
        <v>137</v>
      </c>
    </row>
    <row r="2" customFormat="false" ht="15" hidden="false" customHeight="false" outlineLevel="0" collapsed="false">
      <c r="A2" s="3" t="s">
        <v>138</v>
      </c>
    </row>
    <row r="4" customFormat="false" ht="15" hidden="false" customHeight="false" outlineLevel="0" collapsed="false">
      <c r="A4" s="16" t="s">
        <v>139</v>
      </c>
      <c r="B4" s="17" t="s">
        <v>41</v>
      </c>
      <c r="C4" s="17" t="s">
        <v>42</v>
      </c>
      <c r="D4" s="17" t="s">
        <v>43</v>
      </c>
      <c r="E4" s="17" t="s">
        <v>44</v>
      </c>
      <c r="F4" s="17" t="s">
        <v>45</v>
      </c>
      <c r="G4" s="17" t="s">
        <v>46</v>
      </c>
      <c r="H4" s="17" t="s">
        <v>47</v>
      </c>
      <c r="I4" s="17" t="s">
        <v>48</v>
      </c>
      <c r="J4" s="17" t="s">
        <v>49</v>
      </c>
      <c r="K4" s="17" t="s">
        <v>140</v>
      </c>
    </row>
    <row r="5" customFormat="false" ht="15" hidden="false" customHeight="false" outlineLevel="0" collapsed="false">
      <c r="A5" s="14" t="s">
        <v>141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customFormat="false" ht="15" hidden="false" customHeight="false" outlineLevel="0" collapsed="false">
      <c r="A6" s="9" t="s">
        <v>55</v>
      </c>
      <c r="B6" s="12" t="s">
        <v>56</v>
      </c>
      <c r="C6" s="25" t="n">
        <f aca="false">Inputs!C10</f>
        <v>545.4</v>
      </c>
      <c r="D6" s="25" t="n">
        <f aca="false">Inputs!D10</f>
        <v>254.5</v>
      </c>
      <c r="E6" s="25" t="n">
        <f aca="false">Inputs!E10</f>
        <v>280.5</v>
      </c>
      <c r="F6" s="26" t="n">
        <f aca="false">D6+E6</f>
        <v>535</v>
      </c>
      <c r="G6" s="25" t="n">
        <f aca="false">Inputs!G10</f>
        <v>640</v>
      </c>
      <c r="H6" s="25" t="n">
        <f aca="false">Inputs!H10</f>
        <v>770</v>
      </c>
      <c r="I6" s="25" t="n">
        <f aca="false">Inputs!I10</f>
        <v>870</v>
      </c>
      <c r="J6" s="25" t="n">
        <f aca="false">Inputs!J10</f>
        <v>960</v>
      </c>
      <c r="K6" s="3"/>
    </row>
    <row r="7" customFormat="false" ht="15" hidden="false" customHeight="false" outlineLevel="0" collapsed="false">
      <c r="A7" s="9" t="s">
        <v>142</v>
      </c>
      <c r="B7" s="12" t="s">
        <v>52</v>
      </c>
      <c r="C7" s="27" t="n">
        <f aca="false">Inputs!C11</f>
        <v>3372</v>
      </c>
      <c r="D7" s="27" t="n">
        <f aca="false">Inputs!D11</f>
        <v>4660</v>
      </c>
      <c r="E7" s="27" t="n">
        <f aca="false">Inputs!E6</f>
        <v>4200</v>
      </c>
      <c r="F7" s="28" t="n">
        <f aca="false">(D7*D6+E7*E6)/F6</f>
        <v>4418.82242990654</v>
      </c>
      <c r="G7" s="27" t="n">
        <f aca="false">Inputs!G6</f>
        <v>4000</v>
      </c>
      <c r="H7" s="27" t="n">
        <f aca="false">Inputs!H6</f>
        <v>3800</v>
      </c>
      <c r="I7" s="27" t="n">
        <f aca="false">Inputs!I6</f>
        <v>3600</v>
      </c>
      <c r="J7" s="27" t="n">
        <f aca="false">Inputs!J6</f>
        <v>3500</v>
      </c>
      <c r="K7" s="3" t="s">
        <v>143</v>
      </c>
    </row>
    <row r="8" customFormat="false" ht="15" hidden="false" customHeight="false" outlineLevel="0" collapsed="false">
      <c r="A8" s="9" t="s">
        <v>144</v>
      </c>
      <c r="B8" s="12" t="s">
        <v>52</v>
      </c>
      <c r="C8" s="27" t="n">
        <f aca="false">Inputs!C13</f>
        <v>1524</v>
      </c>
      <c r="D8" s="27" t="n">
        <f aca="false">Inputs!D13</f>
        <v>1793</v>
      </c>
      <c r="E8" s="27" t="n">
        <f aca="false">Inputs!E13</f>
        <v>1855</v>
      </c>
      <c r="F8" s="28" t="n">
        <f aca="false">(D8*D6+E8*E6)/F6</f>
        <v>1825.50654205607</v>
      </c>
      <c r="G8" s="27" t="n">
        <f aca="false">Inputs!G13</f>
        <v>1550</v>
      </c>
      <c r="H8" s="27" t="n">
        <f aca="false">Inputs!H13</f>
        <v>1350</v>
      </c>
      <c r="I8" s="27" t="n">
        <f aca="false">Inputs!I13</f>
        <v>1250</v>
      </c>
      <c r="J8" s="27" t="n">
        <f aca="false">Inputs!J13</f>
        <v>1200</v>
      </c>
      <c r="K8" s="3"/>
    </row>
    <row r="9" customFormat="false" ht="15" hidden="false" customHeight="false" outlineLevel="0" collapsed="false">
      <c r="A9" s="9" t="s">
        <v>145</v>
      </c>
      <c r="B9" s="12" t="s">
        <v>52</v>
      </c>
      <c r="C9" s="28" t="n">
        <f aca="false">C7-C8</f>
        <v>1848</v>
      </c>
      <c r="D9" s="28" t="n">
        <f aca="false">D7-D8</f>
        <v>2867</v>
      </c>
      <c r="E9" s="28" t="n">
        <f aca="false">E7-E8</f>
        <v>2345</v>
      </c>
      <c r="F9" s="28" t="n">
        <f aca="false">F7-F8</f>
        <v>2593.31588785047</v>
      </c>
      <c r="G9" s="28" t="n">
        <f aca="false">G7-G8</f>
        <v>2450</v>
      </c>
      <c r="H9" s="28" t="n">
        <f aca="false">H7-H8</f>
        <v>2450</v>
      </c>
      <c r="I9" s="28" t="n">
        <f aca="false">I7-I8</f>
        <v>2350</v>
      </c>
      <c r="J9" s="28" t="n">
        <f aca="false">J7-J8</f>
        <v>2300</v>
      </c>
      <c r="K9" s="3"/>
    </row>
    <row r="10" customFormat="false" ht="15" hidden="false" customHeight="false" outlineLevel="0" collapsed="false">
      <c r="A10" s="14" t="s">
        <v>146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customFormat="false" ht="15" hidden="false" customHeight="false" outlineLevel="0" collapsed="false">
      <c r="A11" s="4" t="s">
        <v>147</v>
      </c>
      <c r="B11" s="12" t="s">
        <v>61</v>
      </c>
      <c r="C11" s="29" t="n">
        <f aca="false">Inputs!C12</f>
        <v>1808.8</v>
      </c>
      <c r="D11" s="29" t="n">
        <f aca="false">Inputs!D12</f>
        <v>1190.8</v>
      </c>
      <c r="E11" s="29" t="n">
        <f aca="false">E6*E7/1000</f>
        <v>1178.1</v>
      </c>
      <c r="F11" s="29" t="n">
        <f aca="false">D11+E11</f>
        <v>2368.9</v>
      </c>
      <c r="G11" s="29" t="n">
        <f aca="false">G6*G7/1000</f>
        <v>2560</v>
      </c>
      <c r="H11" s="29" t="n">
        <f aca="false">H6*H7/1000</f>
        <v>2926</v>
      </c>
      <c r="I11" s="29" t="n">
        <f aca="false">I6*I7/1000</f>
        <v>3132</v>
      </c>
      <c r="J11" s="29" t="n">
        <f aca="false">J6*J7/1000</f>
        <v>3360</v>
      </c>
      <c r="K11" s="3"/>
    </row>
    <row r="12" customFormat="false" ht="15" hidden="false" customHeight="false" outlineLevel="0" collapsed="false">
      <c r="A12" s="9" t="s">
        <v>145</v>
      </c>
      <c r="B12" s="12" t="s">
        <v>61</v>
      </c>
      <c r="C12" s="26" t="n">
        <f aca="false">C9*C6/1000</f>
        <v>1007.8992</v>
      </c>
      <c r="D12" s="26" t="n">
        <f aca="false">D9*D6/1000</f>
        <v>729.6515</v>
      </c>
      <c r="E12" s="26" t="n">
        <f aca="false">E9*E6/1000</f>
        <v>657.7725</v>
      </c>
      <c r="F12" s="26" t="n">
        <f aca="false">D12+E12</f>
        <v>1387.424</v>
      </c>
      <c r="G12" s="26" t="n">
        <f aca="false">G9*G6/1000</f>
        <v>1568</v>
      </c>
      <c r="H12" s="26" t="n">
        <f aca="false">H9*H6/1000</f>
        <v>1886.5</v>
      </c>
      <c r="I12" s="26" t="n">
        <f aca="false">I9*I6/1000</f>
        <v>2044.5</v>
      </c>
      <c r="J12" s="26" t="n">
        <f aca="false">J9*J6/1000</f>
        <v>2208</v>
      </c>
      <c r="K12" s="3"/>
    </row>
    <row r="13" customFormat="false" ht="15" hidden="false" customHeight="false" outlineLevel="0" collapsed="false">
      <c r="A13" s="9" t="s">
        <v>148</v>
      </c>
      <c r="B13" s="12" t="s">
        <v>61</v>
      </c>
      <c r="E13" s="26" t="n">
        <f aca="false">E12*Inputs!$C$43</f>
        <v>164.443125</v>
      </c>
      <c r="G13" s="26" t="n">
        <f aca="false">G12*Inputs!$C$43</f>
        <v>392</v>
      </c>
      <c r="H13" s="26" t="n">
        <f aca="false">H12*Inputs!$C$43</f>
        <v>471.625</v>
      </c>
      <c r="I13" s="26" t="n">
        <f aca="false">I12*Inputs!$C$43</f>
        <v>511.125</v>
      </c>
      <c r="J13" s="26" t="n">
        <f aca="false">J12*Inputs!$C$43</f>
        <v>552</v>
      </c>
      <c r="K13" s="3" t="s">
        <v>149</v>
      </c>
    </row>
    <row r="14" customFormat="false" ht="15" hidden="false" customHeight="false" outlineLevel="0" collapsed="false">
      <c r="A14" s="9" t="s">
        <v>72</v>
      </c>
      <c r="B14" s="12" t="s">
        <v>73</v>
      </c>
      <c r="C14" s="25" t="n">
        <f aca="false">Inputs!C19</f>
        <v>420</v>
      </c>
      <c r="D14" s="25" t="n">
        <f aca="false">Inputs!D19</f>
        <v>419.8</v>
      </c>
      <c r="E14" s="25" t="n">
        <f aca="false">Inputs!E19</f>
        <v>418.6</v>
      </c>
      <c r="F14" s="25" t="n">
        <f aca="false">Inputs!F19</f>
        <v>418.6</v>
      </c>
      <c r="G14" s="25" t="n">
        <f aca="false">Inputs!G19</f>
        <v>418.6</v>
      </c>
      <c r="H14" s="25" t="n">
        <f aca="false">Inputs!H19</f>
        <v>418.6</v>
      </c>
      <c r="I14" s="25" t="n">
        <f aca="false">Inputs!I19</f>
        <v>418.6</v>
      </c>
      <c r="J14" s="25" t="n">
        <f aca="false">Inputs!J19</f>
        <v>418.6</v>
      </c>
      <c r="K14" s="3"/>
    </row>
    <row r="15" customFormat="false" ht="15" hidden="false" customHeight="false" outlineLevel="0" collapsed="false">
      <c r="A15" s="4" t="s">
        <v>150</v>
      </c>
      <c r="B15" s="12" t="s">
        <v>65</v>
      </c>
      <c r="C15" s="30" t="n">
        <f aca="false">Inputs!C14</f>
        <v>1.4</v>
      </c>
      <c r="D15" s="30" t="n">
        <f aca="false">Inputs!D14</f>
        <v>1.14</v>
      </c>
      <c r="E15" s="30" t="n">
        <f aca="false">(E7-E8-Inputs!$C$45)*E6/1000*(1-Inputs!$C$43)/E14</f>
        <v>1.07800854037267</v>
      </c>
      <c r="F15" s="30" t="n">
        <f aca="false">D15+E15</f>
        <v>2.21800854037267</v>
      </c>
      <c r="G15" s="30" t="n">
        <f aca="false">(G7-G8-Inputs!$C$45)*G6/1000*(1-Inputs!$C$43)/G14</f>
        <v>2.58002866698519</v>
      </c>
      <c r="H15" s="30" t="n">
        <f aca="false">(H7-H8-Inputs!$C$45)*H6/1000*(1-Inputs!$C$43)/H14</f>
        <v>3.10409698996656</v>
      </c>
      <c r="I15" s="30" t="n">
        <f aca="false">(I7-I8-Inputs!$C$45)*I6/1000*(1-Inputs!$C$43)/I14</f>
        <v>3.3513497372193</v>
      </c>
      <c r="J15" s="30" t="n">
        <f aca="false">(J7-J8-Inputs!$C$45)*J6/1000*(1-Inputs!$C$43)/J14</f>
        <v>3.61204013377926</v>
      </c>
      <c r="K15" s="3" t="s">
        <v>151</v>
      </c>
    </row>
    <row r="16" customFormat="false" ht="15" hidden="false" customHeight="false" outlineLevel="0" collapsed="false">
      <c r="A16" s="9" t="s">
        <v>152</v>
      </c>
      <c r="B16" s="12" t="s">
        <v>61</v>
      </c>
      <c r="C16" s="26" t="n">
        <f aca="false">C15*C14</f>
        <v>588</v>
      </c>
      <c r="D16" s="26" t="n">
        <f aca="false">D15*D14</f>
        <v>478.572</v>
      </c>
      <c r="E16" s="26" t="n">
        <f aca="false">E15*E14</f>
        <v>451.254375</v>
      </c>
      <c r="F16" s="26" t="n">
        <f aca="false">D16+E16</f>
        <v>929.826375</v>
      </c>
      <c r="G16" s="26" t="n">
        <f aca="false">G15*G14</f>
        <v>1080</v>
      </c>
      <c r="H16" s="26" t="n">
        <f aca="false">H15*H14</f>
        <v>1299.375</v>
      </c>
      <c r="I16" s="26" t="n">
        <f aca="false">I15*I14</f>
        <v>1402.875</v>
      </c>
      <c r="J16" s="26" t="n">
        <f aca="false">J15*J14</f>
        <v>1512</v>
      </c>
      <c r="K16" s="3"/>
    </row>
    <row r="17" customFormat="false" ht="15" hidden="false" customHeight="false" outlineLevel="0" collapsed="false">
      <c r="A17" s="14" t="s">
        <v>153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customFormat="false" ht="15" hidden="false" customHeight="false" outlineLevel="0" collapsed="false">
      <c r="A18" s="4" t="s">
        <v>154</v>
      </c>
      <c r="B18" s="12" t="s">
        <v>61</v>
      </c>
      <c r="C18" s="29" t="n">
        <f aca="false">Inputs!C15</f>
        <v>795.3</v>
      </c>
      <c r="D18" s="29" t="n">
        <f aca="false">Inputs!D15</f>
        <v>474.3</v>
      </c>
      <c r="E18" s="29" t="n">
        <f aca="false">(E7-E8+Inputs!$C$44)*E6/1000-E13</f>
        <v>619.554375</v>
      </c>
      <c r="F18" s="29" t="n">
        <f aca="false">D18+E18</f>
        <v>1093.854375</v>
      </c>
      <c r="G18" s="29" t="n">
        <f aca="false">(G7-G8+Inputs!$C$44)*G6/1000-G13</f>
        <v>1464</v>
      </c>
      <c r="H18" s="29" t="n">
        <f aca="false">(H7-H8+Inputs!$C$44)*H6/1000-H13</f>
        <v>1761.375</v>
      </c>
      <c r="I18" s="29" t="n">
        <f aca="false">(I7-I8+Inputs!$C$44)*I6/1000-I13</f>
        <v>1924.875</v>
      </c>
      <c r="J18" s="29" t="n">
        <f aca="false">(J7-J8+Inputs!$C$44)*J6/1000-J13</f>
        <v>2088</v>
      </c>
      <c r="K18" s="3"/>
    </row>
    <row r="19" customFormat="false" ht="15" hidden="false" customHeight="false" outlineLevel="0" collapsed="false">
      <c r="A19" s="4" t="s">
        <v>155</v>
      </c>
      <c r="B19" s="12" t="s">
        <v>65</v>
      </c>
      <c r="C19" s="30" t="n">
        <f aca="false">C18/C14</f>
        <v>1.89357142857143</v>
      </c>
      <c r="D19" s="30" t="n">
        <f aca="false">D18/D14</f>
        <v>1.12982372558361</v>
      </c>
      <c r="E19" s="30" t="n">
        <f aca="false">E18/E14</f>
        <v>1.48006300764453</v>
      </c>
      <c r="F19" s="30" t="n">
        <f aca="false">F18/F14</f>
        <v>2.61312559722886</v>
      </c>
      <c r="G19" s="30" t="n">
        <f aca="false">G18/G14</f>
        <v>3.49737219302437</v>
      </c>
      <c r="H19" s="30" t="n">
        <f aca="false">H18/H14</f>
        <v>4.20777591973244</v>
      </c>
      <c r="I19" s="30" t="n">
        <f aca="false">I18/I14</f>
        <v>4.59836359292881</v>
      </c>
      <c r="J19" s="30" t="n">
        <f aca="false">J18/J14</f>
        <v>4.98805542283803</v>
      </c>
      <c r="K19" s="3"/>
    </row>
    <row r="20" customFormat="false" ht="15" hidden="false" customHeight="false" outlineLevel="0" collapsed="false">
      <c r="A20" s="9" t="s">
        <v>156</v>
      </c>
      <c r="B20" s="12" t="s">
        <v>61</v>
      </c>
      <c r="E20" s="26" t="n">
        <f aca="false">Inputs!$C$44*E6/1000</f>
        <v>126.225</v>
      </c>
      <c r="G20" s="26" t="n">
        <f aca="false">Inputs!$C$44*G6/1000</f>
        <v>288</v>
      </c>
      <c r="H20" s="26" t="n">
        <f aca="false">Inputs!$C$44*H6/1000</f>
        <v>346.5</v>
      </c>
      <c r="I20" s="26" t="n">
        <f aca="false">Inputs!$C$44*I6/1000</f>
        <v>391.5</v>
      </c>
      <c r="J20" s="26" t="n">
        <f aca="false">Inputs!$C$44*J6/1000</f>
        <v>432</v>
      </c>
      <c r="K20" s="3"/>
    </row>
    <row r="21" customFormat="false" ht="15" hidden="false" customHeight="false" outlineLevel="0" collapsed="false">
      <c r="A21" s="9" t="s">
        <v>68</v>
      </c>
      <c r="B21" s="12" t="s">
        <v>61</v>
      </c>
      <c r="E21" s="25" t="n">
        <f aca="false">Inputs!E17</f>
        <v>345</v>
      </c>
      <c r="G21" s="25" t="n">
        <f aca="false">Inputs!G17</f>
        <v>600</v>
      </c>
      <c r="H21" s="25" t="n">
        <f aca="false">Inputs!H17</f>
        <v>420</v>
      </c>
      <c r="I21" s="25" t="n">
        <f aca="false">Inputs!I17</f>
        <v>150</v>
      </c>
      <c r="J21" s="25" t="n">
        <f aca="false">Inputs!J17</f>
        <v>0</v>
      </c>
      <c r="K21" s="3"/>
    </row>
    <row r="22" customFormat="false" ht="15" hidden="false" customHeight="false" outlineLevel="0" collapsed="false">
      <c r="A22" s="9" t="s">
        <v>70</v>
      </c>
      <c r="B22" s="12" t="s">
        <v>61</v>
      </c>
      <c r="E22" s="25" t="n">
        <f aca="false">Inputs!E18</f>
        <v>30</v>
      </c>
      <c r="G22" s="25" t="n">
        <f aca="false">Inputs!G18</f>
        <v>60</v>
      </c>
      <c r="H22" s="25" t="n">
        <f aca="false">Inputs!H18</f>
        <v>60</v>
      </c>
      <c r="I22" s="25" t="n">
        <f aca="false">Inputs!I18</f>
        <v>60</v>
      </c>
      <c r="J22" s="25" t="n">
        <f aca="false">Inputs!J18</f>
        <v>60</v>
      </c>
      <c r="K22" s="3"/>
    </row>
    <row r="23" customFormat="false" ht="15" hidden="false" customHeight="false" outlineLevel="0" collapsed="false">
      <c r="A23" s="4" t="s">
        <v>157</v>
      </c>
      <c r="B23" s="12" t="s">
        <v>61</v>
      </c>
      <c r="C23" s="29" t="n">
        <f aca="false">Inputs!C16</f>
        <v>351.7</v>
      </c>
      <c r="D23" s="29" t="n">
        <f aca="false">Inputs!D16</f>
        <v>245.2</v>
      </c>
      <c r="E23" s="29" t="n">
        <f aca="false">E18-E20-E21-E22</f>
        <v>118.329375</v>
      </c>
      <c r="F23" s="29" t="n">
        <f aca="false">D23+E23</f>
        <v>363.529375</v>
      </c>
      <c r="G23" s="29" t="n">
        <f aca="false">G18-G20-G21-G22</f>
        <v>516</v>
      </c>
      <c r="H23" s="29" t="n">
        <f aca="false">H18-H20-H21-H22</f>
        <v>934.875</v>
      </c>
      <c r="I23" s="29" t="n">
        <f aca="false">I18-I20-I21-I22</f>
        <v>1323.375</v>
      </c>
      <c r="J23" s="29" t="n">
        <f aca="false">J18-J20-J21-J22</f>
        <v>1596</v>
      </c>
      <c r="K23" s="3"/>
    </row>
    <row r="24" customFormat="false" ht="15" hidden="false" customHeight="false" outlineLevel="0" collapsed="false">
      <c r="A24" s="9" t="s">
        <v>158</v>
      </c>
      <c r="B24" s="12" t="s">
        <v>61</v>
      </c>
      <c r="G24" s="26" t="n">
        <f aca="false">G23</f>
        <v>516</v>
      </c>
      <c r="H24" s="26" t="n">
        <f aca="false">H23</f>
        <v>934.875</v>
      </c>
      <c r="I24" s="26" t="n">
        <f aca="false">I23</f>
        <v>1323.375</v>
      </c>
      <c r="J24" s="26" t="n">
        <f aca="false">J23</f>
        <v>1596</v>
      </c>
      <c r="K24" s="3" t="s">
        <v>159</v>
      </c>
    </row>
    <row r="25" customFormat="false" ht="15" hidden="false" customHeight="false" outlineLevel="0" collapsed="false">
      <c r="A25" s="9" t="s">
        <v>75</v>
      </c>
      <c r="B25" s="12" t="s">
        <v>65</v>
      </c>
      <c r="C25" s="31" t="n">
        <f aca="false">Inputs!C20</f>
        <v>0.1</v>
      </c>
      <c r="D25" s="31" t="n">
        <f aca="false">Inputs!D20</f>
        <v>0.08</v>
      </c>
      <c r="E25" s="31" t="n">
        <f aca="false">Inputs!E20</f>
        <v>0.08</v>
      </c>
      <c r="F25" s="32" t="n">
        <f aca="false">D25+E25</f>
        <v>0.16</v>
      </c>
      <c r="G25" s="31" t="n">
        <f aca="false">Inputs!G20</f>
        <v>0.16</v>
      </c>
      <c r="H25" s="31" t="n">
        <f aca="false">Inputs!H20</f>
        <v>0.16</v>
      </c>
      <c r="I25" s="31" t="n">
        <f aca="false">Inputs!I20</f>
        <v>0.16</v>
      </c>
      <c r="J25" s="31" t="n">
        <f aca="false">Inputs!J20</f>
        <v>0.16</v>
      </c>
      <c r="K25" s="3"/>
    </row>
    <row r="26" customFormat="false" ht="15" hidden="false" customHeight="false" outlineLevel="0" collapsed="false">
      <c r="A26" s="9" t="s">
        <v>160</v>
      </c>
      <c r="B26" s="12" t="s">
        <v>61</v>
      </c>
      <c r="E26" s="26" t="n">
        <f aca="false">E25*E14</f>
        <v>33.488</v>
      </c>
      <c r="G26" s="26" t="n">
        <f aca="false">G25*G14</f>
        <v>66.976</v>
      </c>
      <c r="H26" s="26" t="n">
        <f aca="false">H25*H14</f>
        <v>66.976</v>
      </c>
      <c r="I26" s="26" t="n">
        <f aca="false">I25*I14</f>
        <v>66.976</v>
      </c>
      <c r="J26" s="26" t="n">
        <f aca="false">J25*J14</f>
        <v>66.976</v>
      </c>
      <c r="K26" s="3"/>
    </row>
    <row r="27" customFormat="false" ht="15" hidden="false" customHeight="false" outlineLevel="0" collapsed="false">
      <c r="A27" s="9" t="s">
        <v>77</v>
      </c>
      <c r="B27" s="12" t="s">
        <v>61</v>
      </c>
      <c r="E27" s="25" t="n">
        <f aca="false">Inputs!E21</f>
        <v>50</v>
      </c>
      <c r="G27" s="25" t="n">
        <f aca="false">Inputs!G21</f>
        <v>0</v>
      </c>
      <c r="H27" s="25" t="n">
        <f aca="false">Inputs!H21</f>
        <v>0</v>
      </c>
      <c r="I27" s="25" t="n">
        <f aca="false">Inputs!I21</f>
        <v>0</v>
      </c>
      <c r="J27" s="25" t="n">
        <f aca="false">Inputs!J21</f>
        <v>0</v>
      </c>
      <c r="K27" s="3"/>
    </row>
    <row r="28" customFormat="false" ht="15" hidden="false" customHeight="false" outlineLevel="0" collapsed="false">
      <c r="A28" s="14" t="s">
        <v>115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customFormat="false" ht="15" hidden="false" customHeight="false" outlineLevel="0" collapsed="false">
      <c r="A29" s="4" t="s">
        <v>161</v>
      </c>
      <c r="B29" s="12" t="s">
        <v>61</v>
      </c>
      <c r="D29" s="29" t="n">
        <f aca="false">Inputs!D22</f>
        <v>-436.9</v>
      </c>
      <c r="E29" s="29" t="n">
        <f aca="false">D29-E23+E26+E27</f>
        <v>-471.741375</v>
      </c>
      <c r="F29" s="29" t="n">
        <f aca="false">E29</f>
        <v>-471.741375</v>
      </c>
      <c r="G29" s="29" t="n">
        <f aca="false">F29-G23+G26+G27</f>
        <v>-920.765375</v>
      </c>
      <c r="H29" s="29" t="n">
        <f aca="false">G29-H23+H26+H27</f>
        <v>-1788.664375</v>
      </c>
      <c r="I29" s="29" t="n">
        <f aca="false">H29-I23+I26+I27</f>
        <v>-3045.063375</v>
      </c>
      <c r="J29" s="29" t="n">
        <f aca="false">I29-J23+J26+J27</f>
        <v>-4574.087375</v>
      </c>
      <c r="K29" s="3"/>
    </row>
    <row r="30" customFormat="false" ht="15" hidden="false" customHeight="false" outlineLevel="0" collapsed="false">
      <c r="A30" s="9" t="s">
        <v>162</v>
      </c>
      <c r="B30" s="12" t="s">
        <v>61</v>
      </c>
      <c r="D30" s="25" t="n">
        <f aca="false">Inputs!D23</f>
        <v>4607.8</v>
      </c>
      <c r="E30" s="26" t="n">
        <f aca="false">D30+E16-E26-E27</f>
        <v>4975.566375</v>
      </c>
      <c r="F30" s="26" t="n">
        <f aca="false">E30</f>
        <v>4975.566375</v>
      </c>
      <c r="G30" s="26" t="n">
        <f aca="false">F30+G16-G26-G27</f>
        <v>5988.590375</v>
      </c>
      <c r="H30" s="26" t="n">
        <f aca="false">G30+H16-H26-H27</f>
        <v>7220.989375</v>
      </c>
      <c r="I30" s="26" t="n">
        <f aca="false">H30+I16-I26-I27</f>
        <v>8556.888375</v>
      </c>
      <c r="J30" s="26" t="n">
        <f aca="false">I30+J16-J26-J27</f>
        <v>10001.912375</v>
      </c>
      <c r="K30" s="3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5" min="4" style="0" width="12"/>
  </cols>
  <sheetData>
    <row r="1" customFormat="false" ht="17.35" hidden="false" customHeight="false" outlineLevel="0" collapsed="false">
      <c r="A1" s="13" t="s">
        <v>164</v>
      </c>
    </row>
    <row r="2" customFormat="false" ht="15" hidden="false" customHeight="false" outlineLevel="0" collapsed="false">
      <c r="A2" s="3" t="s">
        <v>165</v>
      </c>
    </row>
    <row r="4" customFormat="false" ht="15" hidden="false" customHeight="false" outlineLevel="0" collapsed="false">
      <c r="A4" s="14" t="s">
        <v>166</v>
      </c>
      <c r="B4" s="15"/>
      <c r="C4" s="15"/>
    </row>
    <row r="5" customFormat="false" ht="15" hidden="false" customHeight="false" outlineLevel="0" collapsed="false">
      <c r="A5" s="12" t="s">
        <v>167</v>
      </c>
      <c r="B5" s="31" t="n">
        <f aca="false">Inputs!$C$27</f>
        <v>30.21</v>
      </c>
      <c r="C5" s="3" t="s">
        <v>86</v>
      </c>
    </row>
    <row r="6" customFormat="false" ht="15" hidden="false" customHeight="false" outlineLevel="0" collapsed="false">
      <c r="A6" s="12" t="s">
        <v>168</v>
      </c>
      <c r="B6" s="32" t="n">
        <f aca="false">Inputs!$C$27*Inputs!$C$28</f>
        <v>30.21</v>
      </c>
      <c r="C6" s="3" t="s">
        <v>169</v>
      </c>
    </row>
    <row r="7" customFormat="false" ht="15" hidden="false" customHeight="false" outlineLevel="0" collapsed="false">
      <c r="A7" s="12" t="s">
        <v>170</v>
      </c>
      <c r="B7" s="25" t="n">
        <f aca="false">Inputs!$C$29</f>
        <v>418.6</v>
      </c>
      <c r="C7" s="3"/>
    </row>
    <row r="8" customFormat="false" ht="15" hidden="false" customHeight="false" outlineLevel="0" collapsed="false">
      <c r="A8" s="12" t="s">
        <v>171</v>
      </c>
      <c r="B8" s="28" t="n">
        <f aca="false">Valuation!$B$6*Valuation!$B$7</f>
        <v>12645.906</v>
      </c>
      <c r="C8" s="3"/>
    </row>
    <row r="9" customFormat="false" ht="15" hidden="false" customHeight="false" outlineLevel="0" collapsed="false">
      <c r="A9" s="12" t="s">
        <v>172</v>
      </c>
      <c r="B9" s="27" t="n">
        <f aca="false">Inputs!$C$30</f>
        <v>-436.9</v>
      </c>
      <c r="C9" s="3" t="s">
        <v>173</v>
      </c>
    </row>
    <row r="10" customFormat="false" ht="15" hidden="false" customHeight="false" outlineLevel="0" collapsed="false">
      <c r="A10" s="12" t="s">
        <v>174</v>
      </c>
      <c r="B10" s="33" t="n">
        <f aca="false">Valuation!$B$8+Valuation!$B$9</f>
        <v>12209.006</v>
      </c>
      <c r="C10" s="3" t="s">
        <v>175</v>
      </c>
    </row>
    <row r="12" customFormat="false" ht="15" hidden="false" customHeight="false" outlineLevel="0" collapsed="false">
      <c r="A12" s="14" t="s">
        <v>176</v>
      </c>
      <c r="B12" s="15"/>
      <c r="C12" s="15"/>
    </row>
    <row r="13" customFormat="false" ht="15" hidden="false" customHeight="false" outlineLevel="0" collapsed="false">
      <c r="A13" s="12" t="s">
        <v>177</v>
      </c>
      <c r="B13" s="34" t="n">
        <f aca="false">Inputs!$C$52</f>
        <v>0.0497</v>
      </c>
      <c r="C13" s="3" t="s">
        <v>178</v>
      </c>
    </row>
    <row r="14" customFormat="false" ht="15" hidden="false" customHeight="false" outlineLevel="0" collapsed="false">
      <c r="A14" s="12" t="s">
        <v>93</v>
      </c>
      <c r="B14" s="31" t="n">
        <f aca="false">Inputs!$C$31</f>
        <v>1</v>
      </c>
      <c r="C14" s="3" t="s">
        <v>94</v>
      </c>
    </row>
    <row r="15" customFormat="false" ht="15" hidden="false" customHeight="false" outlineLevel="0" collapsed="false">
      <c r="A15" s="12" t="s">
        <v>135</v>
      </c>
      <c r="B15" s="34" t="n">
        <f aca="false">Inputs!$C$53</f>
        <v>0.05</v>
      </c>
      <c r="C15" s="3" t="s">
        <v>178</v>
      </c>
    </row>
    <row r="16" customFormat="false" ht="15" hidden="false" customHeight="false" outlineLevel="0" collapsed="false">
      <c r="A16" s="12" t="s">
        <v>179</v>
      </c>
      <c r="B16" s="35" t="n">
        <f aca="false">Valuation!$B$13+Valuation!$B$14*Valuation!$B$15</f>
        <v>0.0997</v>
      </c>
      <c r="C16" s="3" t="s">
        <v>180</v>
      </c>
    </row>
    <row r="17" customFormat="false" ht="15" hidden="false" customHeight="false" outlineLevel="0" collapsed="false">
      <c r="A17" s="12" t="s">
        <v>95</v>
      </c>
      <c r="B17" s="34" t="n">
        <f aca="false">Inputs!$C$32</f>
        <v>0.06</v>
      </c>
      <c r="C17" s="3" t="s">
        <v>96</v>
      </c>
    </row>
    <row r="18" customFormat="false" ht="15" hidden="false" customHeight="false" outlineLevel="0" collapsed="false">
      <c r="A18" s="12" t="s">
        <v>97</v>
      </c>
      <c r="B18" s="34" t="n">
        <f aca="false">Inputs!$C$33</f>
        <v>0.25</v>
      </c>
      <c r="C18" s="3"/>
    </row>
    <row r="19" customFormat="false" ht="15" hidden="false" customHeight="false" outlineLevel="0" collapsed="false">
      <c r="A19" s="12" t="s">
        <v>181</v>
      </c>
      <c r="B19" s="35" t="n">
        <f aca="false">Inputs!$C$34/(Inputs!$C$34+Valuation!$B$8)</f>
        <v>0.015569162657737</v>
      </c>
      <c r="C19" s="3" t="s">
        <v>182</v>
      </c>
    </row>
    <row r="20" customFormat="false" ht="15" hidden="false" customHeight="false" outlineLevel="0" collapsed="false">
      <c r="A20" s="12" t="s">
        <v>183</v>
      </c>
      <c r="B20" s="35" t="n">
        <f aca="false">Valuation!$B$16*(1-Valuation!$B$19)+Valuation!$B$17*(1-Valuation!$B$18)*Valuation!$B$19</f>
        <v>0.0988483668026218</v>
      </c>
      <c r="C20" s="3" t="s">
        <v>184</v>
      </c>
    </row>
    <row r="22" customFormat="false" ht="15" hidden="false" customHeight="false" outlineLevel="0" collapsed="false">
      <c r="A22" s="14" t="s">
        <v>185</v>
      </c>
      <c r="B22" s="15"/>
      <c r="C22" s="15"/>
    </row>
    <row r="23" customFormat="false" ht="15" hidden="false" customHeight="false" outlineLevel="0" collapsed="false">
      <c r="A23" s="12" t="s">
        <v>186</v>
      </c>
      <c r="B23" s="32" t="n">
        <f aca="false">NAV!$B$18</f>
        <v>42.3530845644591</v>
      </c>
      <c r="C23" s="3"/>
    </row>
    <row r="24" customFormat="false" ht="15" hidden="false" customHeight="false" outlineLevel="0" collapsed="false">
      <c r="A24" s="12" t="s">
        <v>187</v>
      </c>
      <c r="B24" s="36" t="n">
        <f aca="false">Inputs!$C$36</f>
        <v>1</v>
      </c>
      <c r="C24" s="3" t="s">
        <v>103</v>
      </c>
    </row>
    <row r="25" customFormat="false" ht="15" hidden="false" customHeight="false" outlineLevel="0" collapsed="false">
      <c r="A25" s="12" t="s">
        <v>188</v>
      </c>
      <c r="B25" s="37" t="n">
        <f aca="false">Valuation!$B$23*Valuation!$B$24</f>
        <v>42.3530845644591</v>
      </c>
      <c r="C25" s="3"/>
    </row>
    <row r="26" customFormat="false" ht="15" hidden="false" customHeight="false" outlineLevel="0" collapsed="false">
      <c r="A26" s="12" t="s">
        <v>189</v>
      </c>
      <c r="B26" s="31" t="n">
        <f aca="false">Model!$G$19</f>
        <v>3.49737219302437</v>
      </c>
      <c r="C26" s="3"/>
    </row>
    <row r="27" customFormat="false" ht="15" hidden="false" customHeight="false" outlineLevel="0" collapsed="false">
      <c r="A27" s="12" t="s">
        <v>190</v>
      </c>
      <c r="B27" s="36" t="n">
        <f aca="false">Inputs!$C$37</f>
        <v>10</v>
      </c>
      <c r="C27" s="3" t="s">
        <v>105</v>
      </c>
    </row>
    <row r="28" customFormat="false" ht="15" hidden="false" customHeight="false" outlineLevel="0" collapsed="false">
      <c r="A28" s="12" t="s">
        <v>191</v>
      </c>
      <c r="B28" s="37" t="n">
        <f aca="false">Valuation!$B$26*Valuation!$B$27</f>
        <v>34.9737219302437</v>
      </c>
      <c r="C28" s="3"/>
    </row>
    <row r="29" customFormat="false" ht="15" hidden="false" customHeight="false" outlineLevel="0" collapsed="false">
      <c r="A29" s="14" t="s">
        <v>192</v>
      </c>
      <c r="B29" s="15"/>
      <c r="C29" s="15"/>
    </row>
    <row r="30" customFormat="false" ht="15" hidden="false" customHeight="false" outlineLevel="0" collapsed="false">
      <c r="A30" s="12" t="s">
        <v>193</v>
      </c>
      <c r="B30" s="34" t="n">
        <f aca="false">Inputs!$C$35</f>
        <v>0.5</v>
      </c>
      <c r="C30" s="3"/>
    </row>
    <row r="31" customFormat="false" ht="15" hidden="false" customHeight="false" outlineLevel="0" collapsed="false">
      <c r="A31" s="12" t="s">
        <v>194</v>
      </c>
      <c r="B31" s="38" t="n">
        <f aca="false">1-Inputs!$C$35</f>
        <v>0.5</v>
      </c>
      <c r="C31" s="3"/>
    </row>
    <row r="32" customFormat="false" ht="15" hidden="false" customHeight="false" outlineLevel="0" collapsed="false">
      <c r="A32" s="12" t="s">
        <v>195</v>
      </c>
      <c r="B32" s="37" t="n">
        <f aca="false">Valuation!$B$30*Valuation!$B$25+Valuation!$B$31*Valuation!$B$28</f>
        <v>38.6634032473514</v>
      </c>
      <c r="C32" s="3"/>
    </row>
    <row r="33" customFormat="false" ht="15" hidden="false" customHeight="false" outlineLevel="0" collapsed="false">
      <c r="A33" s="12" t="s">
        <v>195</v>
      </c>
      <c r="B33" s="37" t="n">
        <f aca="false">Valuation!$B$32/Inputs!$C$28</f>
        <v>38.6634032473514</v>
      </c>
      <c r="C33" s="3" t="s">
        <v>196</v>
      </c>
    </row>
    <row r="34" customFormat="false" ht="15" hidden="false" customHeight="false" outlineLevel="0" collapsed="false">
      <c r="A34" s="12" t="s">
        <v>197</v>
      </c>
      <c r="B34" s="39" t="n">
        <f aca="false">MROUND(Valuation!$B$33,Inputs!$C$39)</f>
        <v>39</v>
      </c>
      <c r="C34" s="3" t="s">
        <v>198</v>
      </c>
    </row>
    <row r="35" customFormat="false" ht="15" hidden="false" customHeight="false" outlineLevel="0" collapsed="false">
      <c r="A35" s="12" t="s">
        <v>199</v>
      </c>
      <c r="B35" s="31" t="n">
        <f aca="false">Inputs!$C$38</f>
        <v>0.16</v>
      </c>
      <c r="C35" s="3" t="s">
        <v>107</v>
      </c>
    </row>
    <row r="36" customFormat="false" ht="15" hidden="false" customHeight="false" outlineLevel="0" collapsed="false">
      <c r="A36" s="12" t="s">
        <v>200</v>
      </c>
      <c r="B36" s="35" t="n">
        <f aca="false">Valuation!$B$34/Valuation!$B$5-1</f>
        <v>0.290963257199603</v>
      </c>
      <c r="C36" s="3"/>
    </row>
    <row r="37" customFormat="false" ht="15" hidden="false" customHeight="false" outlineLevel="0" collapsed="false">
      <c r="A37" s="12" t="s">
        <v>201</v>
      </c>
      <c r="B37" s="35" t="n">
        <f aca="false">Valuation!$B$35/Valuation!$B$5</f>
        <v>0.00529625951671632</v>
      </c>
      <c r="C37" s="3"/>
    </row>
    <row r="38" customFormat="false" ht="15" hidden="false" customHeight="false" outlineLevel="0" collapsed="false">
      <c r="A38" s="12" t="s">
        <v>6</v>
      </c>
      <c r="B38" s="35" t="n">
        <f aca="false">Valuation!$B$36+Valuation!$B$37</f>
        <v>0.296259516716319</v>
      </c>
      <c r="C38" s="3" t="s">
        <v>202</v>
      </c>
    </row>
    <row r="39" customFormat="false" ht="15" hidden="false" customHeight="false" outlineLevel="0" collapsed="false">
      <c r="A39" s="12" t="s">
        <v>3</v>
      </c>
      <c r="B39" s="40" t="str">
        <f aca="false">IF(Valuation!$B$38&gt;Inputs!$C$40,"Buy",IF(Valuation!$B$38&gt;=0,"Hold","Sell"))</f>
        <v>Buy</v>
      </c>
      <c r="C39" s="3"/>
    </row>
    <row r="41" customFormat="false" ht="15" hidden="false" customHeight="false" outlineLevel="0" collapsed="false">
      <c r="A41" s="14" t="s">
        <v>203</v>
      </c>
      <c r="B41" s="15"/>
      <c r="C41" s="15"/>
    </row>
    <row r="42" customFormat="false" ht="15" hidden="false" customHeight="false" outlineLevel="0" collapsed="false">
      <c r="A42" s="3" t="s">
        <v>204</v>
      </c>
    </row>
    <row r="43" customFormat="false" ht="15" hidden="false" customHeight="false" outlineLevel="0" collapsed="false">
      <c r="A43" s="4" t="s">
        <v>205</v>
      </c>
      <c r="B43" s="4" t="s">
        <v>46</v>
      </c>
      <c r="C43" s="4" t="s">
        <v>47</v>
      </c>
      <c r="D43" s="4" t="s">
        <v>48</v>
      </c>
      <c r="E43" s="4" t="s">
        <v>49</v>
      </c>
    </row>
    <row r="44" customFormat="false" ht="15" hidden="false" customHeight="false" outlineLevel="0" collapsed="false">
      <c r="A44" s="12" t="s">
        <v>206</v>
      </c>
      <c r="B44" s="41" t="n">
        <f aca="false">Model!$G$24</f>
        <v>516</v>
      </c>
      <c r="C44" s="41" t="n">
        <f aca="false">Model!$H$24</f>
        <v>934.875</v>
      </c>
      <c r="D44" s="41" t="n">
        <f aca="false">Model!$I$24</f>
        <v>1323.375</v>
      </c>
      <c r="E44" s="41" t="n">
        <f aca="false">Model!$J$24</f>
        <v>1596</v>
      </c>
    </row>
    <row r="45" customFormat="false" ht="15" hidden="false" customHeight="false" outlineLevel="0" collapsed="false">
      <c r="A45" s="12" t="s">
        <v>207</v>
      </c>
      <c r="B45" s="42" t="n">
        <f aca="false">1/(1+Valuation!$B$20)^1</f>
        <v>0.910043669546285</v>
      </c>
      <c r="C45" s="42" t="n">
        <f aca="false">1/(1+Valuation!$B$20)^2</f>
        <v>0.828179480481268</v>
      </c>
      <c r="D45" s="42" t="n">
        <f aca="false">1/(1+Valuation!$B$20)^3</f>
        <v>0.753679493460109</v>
      </c>
      <c r="E45" s="42" t="n">
        <f aca="false">1/(1+Valuation!$B$20)^4</f>
        <v>0.685881251890222</v>
      </c>
    </row>
    <row r="46" customFormat="false" ht="15" hidden="false" customHeight="false" outlineLevel="0" collapsed="false">
      <c r="A46" s="12" t="s">
        <v>208</v>
      </c>
      <c r="B46" s="43" t="n">
        <f aca="false">B44*B45</f>
        <v>469.582533485883</v>
      </c>
      <c r="C46" s="43" t="n">
        <f aca="false">C44*C45</f>
        <v>774.244291814925</v>
      </c>
      <c r="D46" s="43" t="n">
        <f aca="false">D44*D45</f>
        <v>997.400599657771</v>
      </c>
      <c r="E46" s="43" t="n">
        <f aca="false">E44*E45</f>
        <v>1094.6664780168</v>
      </c>
    </row>
    <row r="48" customFormat="false" ht="15" hidden="false" customHeight="false" outlineLevel="0" collapsed="false">
      <c r="A48" s="12" t="s">
        <v>209</v>
      </c>
      <c r="B48" s="34" t="n">
        <f aca="false">Inputs!$C$41</f>
        <v>0.02</v>
      </c>
      <c r="C48" s="3" t="s">
        <v>113</v>
      </c>
    </row>
    <row r="49" customFormat="false" ht="15" hidden="false" customHeight="false" outlineLevel="0" collapsed="false">
      <c r="A49" s="12" t="s">
        <v>210</v>
      </c>
      <c r="B49" s="28" t="n">
        <f aca="false">SUM(B46:E46)</f>
        <v>3335.89390297537</v>
      </c>
      <c r="C49" s="3"/>
    </row>
    <row r="50" customFormat="false" ht="15" hidden="false" customHeight="false" outlineLevel="0" collapsed="false">
      <c r="A50" s="12" t="s">
        <v>211</v>
      </c>
      <c r="B50" s="28" t="n">
        <f aca="false">E44*(1+Valuation!$B$48)/(Valuation!$B$20-Valuation!$B$48)</f>
        <v>20646.2107715574</v>
      </c>
      <c r="C50" s="3" t="s">
        <v>212</v>
      </c>
    </row>
    <row r="51" customFormat="false" ht="15" hidden="false" customHeight="false" outlineLevel="0" collapsed="false">
      <c r="A51" s="12" t="s">
        <v>213</v>
      </c>
      <c r="B51" s="33" t="n">
        <f aca="false">Valuation!$B$50*E45</f>
        <v>14160.8488907852</v>
      </c>
      <c r="C51" s="3"/>
    </row>
    <row r="52" customFormat="false" ht="15" hidden="false" customHeight="false" outlineLevel="0" collapsed="false">
      <c r="A52" s="12" t="s">
        <v>214</v>
      </c>
      <c r="B52" s="33" t="n">
        <f aca="false">Valuation!$B$49+Valuation!$B$51</f>
        <v>17496.7427937606</v>
      </c>
      <c r="C52" s="3"/>
    </row>
    <row r="53" customFormat="false" ht="15" hidden="false" customHeight="false" outlineLevel="0" collapsed="false">
      <c r="A53" s="12" t="s">
        <v>215</v>
      </c>
      <c r="B53" s="27" t="n">
        <f aca="false">Model!$F$29</f>
        <v>-471.741375</v>
      </c>
      <c r="C53" s="3" t="s">
        <v>216</v>
      </c>
    </row>
    <row r="54" customFormat="false" ht="15" hidden="false" customHeight="false" outlineLevel="0" collapsed="false">
      <c r="A54" s="12" t="s">
        <v>217</v>
      </c>
      <c r="B54" s="27" t="n">
        <f aca="false">Inputs!$C$42</f>
        <v>0</v>
      </c>
      <c r="C54" s="3"/>
    </row>
    <row r="55" customFormat="false" ht="15" hidden="false" customHeight="false" outlineLevel="0" collapsed="false">
      <c r="A55" s="12" t="s">
        <v>218</v>
      </c>
      <c r="B55" s="37" t="n">
        <f aca="false">(Valuation!$B$52-Valuation!$B$53+Valuation!$B$54)/Valuation!$B$7</f>
        <v>42.9251891274739</v>
      </c>
      <c r="C55" s="3" t="s">
        <v>219</v>
      </c>
    </row>
    <row r="56" customFormat="false" ht="15" hidden="false" customHeight="false" outlineLevel="0" collapsed="false">
      <c r="A56" s="12" t="s">
        <v>220</v>
      </c>
      <c r="B56" s="35" t="n">
        <f aca="false">Valuation!$B$55/Valuation!$B$6-1</f>
        <v>0.420893383895197</v>
      </c>
      <c r="C56" s="3"/>
    </row>
    <row r="57" customFormat="false" ht="15" hidden="false" customHeight="false" outlineLevel="0" collapsed="false">
      <c r="A57" s="12" t="s">
        <v>221</v>
      </c>
      <c r="B57" s="35" t="n">
        <f aca="false">Valuation!$B$51/Valuation!$B$52</f>
        <v>0.809342004835039</v>
      </c>
      <c r="C57" s="3" t="s">
        <v>222</v>
      </c>
    </row>
    <row r="59" customFormat="false" ht="15" hidden="false" customHeight="false" outlineLevel="0" collapsed="false">
      <c r="A59" s="14" t="s">
        <v>223</v>
      </c>
      <c r="B59" s="15"/>
      <c r="C59" s="15"/>
    </row>
    <row r="60" customFormat="false" ht="15" hidden="false" customHeight="false" outlineLevel="0" collapsed="false">
      <c r="A60" s="12" t="s">
        <v>224</v>
      </c>
      <c r="B60" s="31" t="n">
        <f aca="false">Model!$G$19</f>
        <v>3.49737219302437</v>
      </c>
      <c r="C60" s="3" t="s">
        <v>225</v>
      </c>
    </row>
    <row r="61" customFormat="false" ht="15" hidden="false" customHeight="false" outlineLevel="0" collapsed="false">
      <c r="A61" s="12" t="s">
        <v>226</v>
      </c>
      <c r="B61" s="35" t="n">
        <f aca="false">Valuation!$B$16-Valuation!$B$60/Valuation!$B$6</f>
        <v>-0.016068692255027</v>
      </c>
      <c r="C61" s="3" t="s">
        <v>227</v>
      </c>
    </row>
    <row r="63" customFormat="false" ht="15" hidden="false" customHeight="false" outlineLevel="0" collapsed="false">
      <c r="A63" s="14" t="s">
        <v>228</v>
      </c>
      <c r="B63" s="15"/>
      <c r="C63" s="15"/>
    </row>
    <row r="64" customFormat="false" ht="15" hidden="false" customHeight="false" outlineLevel="0" collapsed="false">
      <c r="A64" s="3" t="s">
        <v>229</v>
      </c>
    </row>
    <row r="65" customFormat="false" ht="15" hidden="false" customHeight="false" outlineLevel="0" collapsed="false">
      <c r="A65" s="4" t="s">
        <v>205</v>
      </c>
      <c r="B65" s="4" t="s">
        <v>46</v>
      </c>
      <c r="C65" s="4" t="s">
        <v>47</v>
      </c>
      <c r="D65" s="4" t="s">
        <v>48</v>
      </c>
      <c r="E65" s="4" t="s">
        <v>49</v>
      </c>
    </row>
    <row r="66" customFormat="false" ht="15" hidden="false" customHeight="false" outlineLevel="0" collapsed="false">
      <c r="A66" s="12" t="s">
        <v>230</v>
      </c>
      <c r="B66" s="41" t="n">
        <f aca="false">Model!$G$16</f>
        <v>1080</v>
      </c>
      <c r="C66" s="41" t="n">
        <f aca="false">Model!$H$16</f>
        <v>1299.375</v>
      </c>
      <c r="D66" s="41" t="n">
        <f aca="false">Model!$I$16</f>
        <v>1402.875</v>
      </c>
      <c r="E66" s="41" t="n">
        <f aca="false">Model!$J$16</f>
        <v>1512</v>
      </c>
    </row>
    <row r="67" customFormat="false" ht="15" hidden="false" customHeight="false" outlineLevel="0" collapsed="false">
      <c r="A67" s="12" t="s">
        <v>231</v>
      </c>
      <c r="B67" s="41" t="n">
        <f aca="false">Model!$F$30</f>
        <v>4975.566375</v>
      </c>
      <c r="C67" s="41" t="n">
        <f aca="false">Model!$G$30</f>
        <v>5988.590375</v>
      </c>
      <c r="D67" s="41" t="n">
        <f aca="false">Model!$H$30</f>
        <v>7220.989375</v>
      </c>
      <c r="E67" s="41" t="n">
        <f aca="false">Model!$I$30</f>
        <v>8556.888375</v>
      </c>
    </row>
    <row r="68" customFormat="false" ht="15" hidden="false" customHeight="false" outlineLevel="0" collapsed="false">
      <c r="A68" s="12" t="s">
        <v>232</v>
      </c>
      <c r="B68" s="43" t="n">
        <f aca="false">B66-Valuation!$B$16*B67</f>
        <v>583.9360324125</v>
      </c>
      <c r="C68" s="43" t="n">
        <f aca="false">C66-Valuation!$B$16*C67</f>
        <v>702.3125396125</v>
      </c>
      <c r="D68" s="43" t="n">
        <f aca="false">D66-Valuation!$B$16*D67</f>
        <v>682.9423593125</v>
      </c>
      <c r="E68" s="43" t="n">
        <f aca="false">E66-Valuation!$B$16*E67</f>
        <v>658.8782290125</v>
      </c>
    </row>
    <row r="69" customFormat="false" ht="15" hidden="false" customHeight="false" outlineLevel="0" collapsed="false">
      <c r="A69" s="12" t="s">
        <v>233</v>
      </c>
      <c r="B69" s="42" t="n">
        <f aca="false">1/(1+Valuation!$B$16)^1</f>
        <v>0.909338910611985</v>
      </c>
      <c r="C69" s="42" t="n">
        <f aca="false">1/(1+Valuation!$B$16)^2</f>
        <v>0.826897254352992</v>
      </c>
      <c r="D69" s="42" t="n">
        <f aca="false">1/(1+Valuation!$B$16)^3</f>
        <v>0.751929848461391</v>
      </c>
      <c r="E69" s="42" t="n">
        <f aca="false">1/(1+Valuation!$B$16)^4</f>
        <v>0.683759069256517</v>
      </c>
    </row>
    <row r="70" customFormat="false" ht="15" hidden="false" customHeight="false" outlineLevel="0" collapsed="false">
      <c r="A70" s="12" t="s">
        <v>234</v>
      </c>
      <c r="B70" s="43" t="n">
        <f aca="false">B68*B69</f>
        <v>530.995755581068</v>
      </c>
      <c r="C70" s="43" t="n">
        <f aca="false">C68*C69</f>
        <v>580.740310703253</v>
      </c>
      <c r="D70" s="43" t="n">
        <f aca="false">D68*D69</f>
        <v>513.524744745713</v>
      </c>
      <c r="E70" s="43" t="n">
        <f aca="false">E68*E69</f>
        <v>450.513964622969</v>
      </c>
    </row>
    <row r="72" customFormat="false" ht="15" hidden="false" customHeight="false" outlineLevel="0" collapsed="false">
      <c r="A72" s="12" t="s">
        <v>235</v>
      </c>
      <c r="B72" s="27" t="n">
        <f aca="false">Model!$F$30</f>
        <v>4975.566375</v>
      </c>
      <c r="C72" s="3"/>
    </row>
    <row r="73" customFormat="false" ht="15" hidden="false" customHeight="false" outlineLevel="0" collapsed="false">
      <c r="A73" s="12" t="s">
        <v>236</v>
      </c>
      <c r="B73" s="28" t="n">
        <f aca="false">SUM(B70:E70)</f>
        <v>2075.774775653</v>
      </c>
      <c r="C73" s="3"/>
    </row>
    <row r="74" customFormat="false" ht="15" hidden="false" customHeight="false" outlineLevel="0" collapsed="false">
      <c r="A74" s="12" t="s">
        <v>237</v>
      </c>
      <c r="B74" s="28" t="n">
        <f aca="false">E68/Valuation!$B$16*E69</f>
        <v>4518.69573342998</v>
      </c>
      <c r="C74" s="3"/>
    </row>
    <row r="75" customFormat="false" ht="15" hidden="false" customHeight="false" outlineLevel="0" collapsed="false">
      <c r="A75" s="12" t="s">
        <v>238</v>
      </c>
      <c r="B75" s="37" t="n">
        <f aca="false">(Valuation!$B$72+Valuation!$B$73+Valuation!$B$74)/Valuation!$B$7</f>
        <v>27.6398396657501</v>
      </c>
      <c r="C75" s="3" t="s">
        <v>239</v>
      </c>
    </row>
    <row r="76" customFormat="false" ht="15" hidden="false" customHeight="false" outlineLevel="0" collapsed="false">
      <c r="A76" s="14" t="s">
        <v>240</v>
      </c>
      <c r="B76" s="15"/>
      <c r="C76" s="15"/>
    </row>
    <row r="77" customFormat="false" ht="15" hidden="false" customHeight="false" outlineLevel="0" collapsed="false">
      <c r="A77" s="12" t="s">
        <v>241</v>
      </c>
      <c r="B77" s="38" t="n">
        <f aca="false">Model!$G$25/Model!$G$15</f>
        <v>0.0620148148148148</v>
      </c>
      <c r="C77" s="3"/>
    </row>
    <row r="78" customFormat="false" ht="15" hidden="false" customHeight="false" outlineLevel="0" collapsed="false">
      <c r="A78" s="12" t="s">
        <v>242</v>
      </c>
      <c r="B78" s="38" t="n">
        <f aca="false">Model!$G$16/AVERAGE(Model!$F$30,Model!$G$30)</f>
        <v>0.197005574550911</v>
      </c>
      <c r="C78" s="3"/>
    </row>
    <row r="79" customFormat="false" ht="15" hidden="false" customHeight="false" outlineLevel="0" collapsed="false">
      <c r="A79" s="12" t="s">
        <v>243</v>
      </c>
      <c r="B79" s="35" t="n">
        <f aca="false">(1-Valuation!$B$77)*Valuation!$B$78</f>
        <v>0.18478831032765</v>
      </c>
      <c r="C79" s="3" t="s">
        <v>244</v>
      </c>
    </row>
    <row r="80" customFormat="false" ht="15" hidden="false" customHeight="false" outlineLevel="0" collapsed="false">
      <c r="A80" s="12" t="s">
        <v>245</v>
      </c>
      <c r="B80" s="44" t="str">
        <f aca="false">IF(Valuation!$B$16&gt;Valuation!$B$79,Valuation!$B$77/(Valuation!$B$16-Valuation!$B$79),"n/m")</f>
        <v>n/m</v>
      </c>
      <c r="C80" s="3" t="s">
        <v>246</v>
      </c>
    </row>
    <row r="81" customFormat="false" ht="15" hidden="false" customHeight="false" outlineLevel="0" collapsed="false">
      <c r="A81" s="12" t="s">
        <v>247</v>
      </c>
      <c r="B81" s="45" t="n">
        <f aca="false">Valuation!$B$6/Model!$G$15</f>
        <v>11.7091722222222</v>
      </c>
      <c r="C8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26" min="3" style="0" width="9"/>
  </cols>
  <sheetData>
    <row r="1" customFormat="false" ht="17.35" hidden="false" customHeight="false" outlineLevel="0" collapsed="false">
      <c r="A1" s="13" t="s">
        <v>248</v>
      </c>
    </row>
    <row r="2" customFormat="false" ht="15" hidden="false" customHeight="false" outlineLevel="0" collapsed="false">
      <c r="A2" s="3" t="s">
        <v>249</v>
      </c>
    </row>
    <row r="4" customFormat="false" ht="15" hidden="false" customHeight="false" outlineLevel="0" collapsed="false">
      <c r="A4" s="4" t="s">
        <v>205</v>
      </c>
      <c r="C4" s="4" t="n">
        <v>2027</v>
      </c>
      <c r="D4" s="4" t="n">
        <v>2028</v>
      </c>
      <c r="E4" s="4" t="n">
        <v>2029</v>
      </c>
      <c r="F4" s="4" t="n">
        <v>2030</v>
      </c>
      <c r="G4" s="4" t="n">
        <v>2031</v>
      </c>
      <c r="H4" s="4" t="n">
        <v>2032</v>
      </c>
      <c r="I4" s="4" t="n">
        <v>2033</v>
      </c>
      <c r="J4" s="4" t="n">
        <v>2034</v>
      </c>
      <c r="K4" s="4" t="n">
        <v>2035</v>
      </c>
      <c r="L4" s="4" t="n">
        <v>2036</v>
      </c>
      <c r="M4" s="4" t="n">
        <v>2037</v>
      </c>
      <c r="N4" s="4" t="n">
        <v>2038</v>
      </c>
      <c r="O4" s="4" t="n">
        <v>2039</v>
      </c>
      <c r="P4" s="4" t="n">
        <v>2040</v>
      </c>
      <c r="Q4" s="4" t="n">
        <v>2041</v>
      </c>
      <c r="R4" s="4" t="n">
        <v>2042</v>
      </c>
      <c r="S4" s="4" t="n">
        <v>2043</v>
      </c>
      <c r="T4" s="4" t="n">
        <v>2044</v>
      </c>
      <c r="U4" s="4" t="n">
        <v>2045</v>
      </c>
      <c r="V4" s="4" t="n">
        <v>2046</v>
      </c>
      <c r="W4" s="4" t="n">
        <v>2047</v>
      </c>
      <c r="X4" s="4" t="n">
        <v>2048</v>
      </c>
      <c r="Y4" s="4" t="n">
        <v>2049</v>
      </c>
      <c r="Z4" s="4" t="n">
        <v>2050</v>
      </c>
    </row>
    <row r="5" customFormat="false" ht="15" hidden="false" customHeight="false" outlineLevel="0" collapsed="false">
      <c r="A5" s="12" t="s">
        <v>55</v>
      </c>
      <c r="B5" s="12" t="s">
        <v>56</v>
      </c>
      <c r="C5" s="25" t="n">
        <f aca="false">Model!$G$6</f>
        <v>640</v>
      </c>
      <c r="D5" s="25" t="n">
        <f aca="false">Model!$H$6</f>
        <v>770</v>
      </c>
      <c r="E5" s="25" t="n">
        <f aca="false">Model!$I$6</f>
        <v>870</v>
      </c>
      <c r="F5" s="25" t="n">
        <f aca="false">Model!$J$6</f>
        <v>960</v>
      </c>
      <c r="G5" s="46" t="n">
        <f aca="false">Inputs!$C$46</f>
        <v>960</v>
      </c>
      <c r="H5" s="46" t="n">
        <f aca="false">Inputs!$C$46</f>
        <v>960</v>
      </c>
      <c r="I5" s="46" t="n">
        <f aca="false">Inputs!$C$46</f>
        <v>960</v>
      </c>
      <c r="J5" s="46" t="n">
        <f aca="false">Inputs!$C$46</f>
        <v>960</v>
      </c>
      <c r="K5" s="46" t="n">
        <f aca="false">Inputs!$C$46</f>
        <v>960</v>
      </c>
      <c r="L5" s="46" t="n">
        <f aca="false">Inputs!$C$46</f>
        <v>960</v>
      </c>
      <c r="M5" s="46" t="n">
        <f aca="false">L5*(1-Inputs!$C$47)</f>
        <v>892.8</v>
      </c>
      <c r="N5" s="46" t="n">
        <f aca="false">M5*(1-Inputs!$C$47)</f>
        <v>830.304</v>
      </c>
      <c r="O5" s="46" t="n">
        <f aca="false">N5*(1-Inputs!$C$47)</f>
        <v>772.18272</v>
      </c>
      <c r="P5" s="46" t="n">
        <f aca="false">O5*(1-Inputs!$C$47)</f>
        <v>718.1299296</v>
      </c>
      <c r="Q5" s="46" t="n">
        <f aca="false">P5*(1-Inputs!$C$47)</f>
        <v>667.860834528</v>
      </c>
      <c r="R5" s="46" t="n">
        <f aca="false">Q5*(1-Inputs!$C$47)</f>
        <v>621.11057611104</v>
      </c>
      <c r="S5" s="46" t="n">
        <f aca="false">R5*(1-Inputs!$C$47)</f>
        <v>577.632835783267</v>
      </c>
      <c r="T5" s="46" t="n">
        <f aca="false">S5*(1-Inputs!$C$47)</f>
        <v>537.198537278438</v>
      </c>
      <c r="U5" s="46" t="n">
        <f aca="false">T5*(1-Inputs!$C$47)</f>
        <v>499.594639668947</v>
      </c>
      <c r="V5" s="46" t="n">
        <f aca="false">U5*(1-Inputs!$C$47)</f>
        <v>464.623014892121</v>
      </c>
      <c r="W5" s="46" t="n">
        <f aca="false">V5*(1-Inputs!$C$47)</f>
        <v>432.099403849673</v>
      </c>
      <c r="X5" s="46" t="n">
        <f aca="false">W5*(1-Inputs!$C$47)</f>
        <v>401.852445580196</v>
      </c>
      <c r="Y5" s="46" t="n">
        <f aca="false">X5*(1-Inputs!$C$47)</f>
        <v>373.722774389582</v>
      </c>
      <c r="Z5" s="46" t="n">
        <f aca="false">Y5*(1-Inputs!$C$47)</f>
        <v>347.562180182311</v>
      </c>
    </row>
    <row r="6" customFormat="false" ht="15" hidden="false" customHeight="false" outlineLevel="0" collapsed="false">
      <c r="A6" s="12" t="s">
        <v>250</v>
      </c>
      <c r="B6" s="12" t="s">
        <v>52</v>
      </c>
      <c r="C6" s="47" t="n">
        <f aca="false">Inputs!G6</f>
        <v>4000</v>
      </c>
      <c r="D6" s="47" t="n">
        <f aca="false">Inputs!H6</f>
        <v>3800</v>
      </c>
      <c r="E6" s="47" t="n">
        <f aca="false">Inputs!I6</f>
        <v>3600</v>
      </c>
      <c r="F6" s="47" t="n">
        <f aca="false">Inputs!J6</f>
        <v>3500</v>
      </c>
      <c r="G6" s="47" t="n">
        <f aca="false">Inputs!$C$51</f>
        <v>3500</v>
      </c>
      <c r="H6" s="47" t="n">
        <f aca="false">Inputs!$C$51</f>
        <v>3500</v>
      </c>
      <c r="I6" s="47" t="n">
        <f aca="false">Inputs!$C$51</f>
        <v>3500</v>
      </c>
      <c r="J6" s="47" t="n">
        <f aca="false">Inputs!$C$51</f>
        <v>3500</v>
      </c>
      <c r="K6" s="47" t="n">
        <f aca="false">Inputs!$C$51</f>
        <v>3500</v>
      </c>
      <c r="L6" s="47" t="n">
        <f aca="false">Inputs!$C$51</f>
        <v>3500</v>
      </c>
      <c r="M6" s="47" t="n">
        <f aca="false">Inputs!$C$51</f>
        <v>3500</v>
      </c>
      <c r="N6" s="47" t="n">
        <f aca="false">Inputs!$C$51</f>
        <v>3500</v>
      </c>
      <c r="O6" s="47" t="n">
        <f aca="false">Inputs!$C$51</f>
        <v>3500</v>
      </c>
      <c r="P6" s="47" t="n">
        <f aca="false">Inputs!$C$51</f>
        <v>3500</v>
      </c>
      <c r="Q6" s="47" t="n">
        <f aca="false">Inputs!$C$51</f>
        <v>3500</v>
      </c>
      <c r="R6" s="47" t="n">
        <f aca="false">Inputs!$C$51</f>
        <v>3500</v>
      </c>
      <c r="S6" s="47" t="n">
        <f aca="false">Inputs!$C$51</f>
        <v>3500</v>
      </c>
      <c r="T6" s="47" t="n">
        <f aca="false">Inputs!$C$51</f>
        <v>3500</v>
      </c>
      <c r="U6" s="47" t="n">
        <f aca="false">Inputs!$C$51</f>
        <v>3500</v>
      </c>
      <c r="V6" s="47" t="n">
        <f aca="false">Inputs!$C$51</f>
        <v>3500</v>
      </c>
      <c r="W6" s="47" t="n">
        <f aca="false">Inputs!$C$51</f>
        <v>3500</v>
      </c>
      <c r="X6" s="47" t="n">
        <f aca="false">Inputs!$C$51</f>
        <v>3500</v>
      </c>
      <c r="Y6" s="47" t="n">
        <f aca="false">Inputs!$C$51</f>
        <v>3500</v>
      </c>
      <c r="Z6" s="47" t="n">
        <f aca="false">Inputs!$C$51</f>
        <v>3500</v>
      </c>
    </row>
    <row r="7" customFormat="false" ht="15" hidden="false" customHeight="false" outlineLevel="0" collapsed="false">
      <c r="A7" s="12" t="s">
        <v>62</v>
      </c>
      <c r="B7" s="12" t="s">
        <v>52</v>
      </c>
      <c r="C7" s="27" t="n">
        <f aca="false">Model!$G$8</f>
        <v>1550</v>
      </c>
      <c r="D7" s="27" t="n">
        <f aca="false">Model!$H$8</f>
        <v>1350</v>
      </c>
      <c r="E7" s="27" t="n">
        <f aca="false">Model!$I$8</f>
        <v>1250</v>
      </c>
      <c r="F7" s="27" t="n">
        <f aca="false">Model!$J$8</f>
        <v>1200</v>
      </c>
      <c r="G7" s="47" t="n">
        <f aca="false">Inputs!$C$48</f>
        <v>1200</v>
      </c>
      <c r="H7" s="47" t="n">
        <f aca="false">Inputs!$C$48</f>
        <v>1200</v>
      </c>
      <c r="I7" s="47" t="n">
        <f aca="false">Inputs!$C$48</f>
        <v>1200</v>
      </c>
      <c r="J7" s="47" t="n">
        <f aca="false">Inputs!$C$48</f>
        <v>1200</v>
      </c>
      <c r="K7" s="47" t="n">
        <f aca="false">Inputs!$C$48</f>
        <v>1200</v>
      </c>
      <c r="L7" s="47" t="n">
        <f aca="false">Inputs!$C$48</f>
        <v>1200</v>
      </c>
      <c r="M7" s="47" t="n">
        <f aca="false">Inputs!$C$48</f>
        <v>1200</v>
      </c>
      <c r="N7" s="47" t="n">
        <f aca="false">Inputs!$C$48</f>
        <v>1200</v>
      </c>
      <c r="O7" s="47" t="n">
        <f aca="false">Inputs!$C$48</f>
        <v>1200</v>
      </c>
      <c r="P7" s="47" t="n">
        <f aca="false">Inputs!$C$48</f>
        <v>1200</v>
      </c>
      <c r="Q7" s="47" t="n">
        <f aca="false">Inputs!$C$48</f>
        <v>1200</v>
      </c>
      <c r="R7" s="47" t="n">
        <f aca="false">Inputs!$C$48</f>
        <v>1200</v>
      </c>
      <c r="S7" s="47" t="n">
        <f aca="false">Inputs!$C$48</f>
        <v>1200</v>
      </c>
      <c r="T7" s="47" t="n">
        <f aca="false">Inputs!$C$48</f>
        <v>1200</v>
      </c>
      <c r="U7" s="47" t="n">
        <f aca="false">Inputs!$C$48</f>
        <v>1200</v>
      </c>
      <c r="V7" s="47" t="n">
        <f aca="false">Inputs!$C$48</f>
        <v>1200</v>
      </c>
      <c r="W7" s="47" t="n">
        <f aca="false">Inputs!$C$48</f>
        <v>1200</v>
      </c>
      <c r="X7" s="47" t="n">
        <f aca="false">Inputs!$C$48</f>
        <v>1200</v>
      </c>
      <c r="Y7" s="47" t="n">
        <f aca="false">Inputs!$C$48</f>
        <v>1200</v>
      </c>
      <c r="Z7" s="47" t="n">
        <f aca="false">Inputs!$C$48</f>
        <v>1200</v>
      </c>
    </row>
    <row r="8" customFormat="false" ht="15" hidden="false" customHeight="false" outlineLevel="0" collapsed="false">
      <c r="A8" s="12" t="s">
        <v>68</v>
      </c>
      <c r="B8" s="12" t="s">
        <v>61</v>
      </c>
      <c r="C8" s="27" t="n">
        <f aca="false">Model!$G$21</f>
        <v>600</v>
      </c>
      <c r="D8" s="27" t="n">
        <f aca="false">Model!$H$21</f>
        <v>420</v>
      </c>
      <c r="E8" s="27" t="n">
        <f aca="false">Model!$I$21</f>
        <v>150</v>
      </c>
      <c r="F8" s="27" t="n">
        <f aca="false">Model!$J$21</f>
        <v>0</v>
      </c>
      <c r="G8" s="47" t="n">
        <f aca="false">0</f>
        <v>0</v>
      </c>
      <c r="H8" s="47" t="n">
        <f aca="false">0</f>
        <v>0</v>
      </c>
      <c r="I8" s="47" t="n">
        <f aca="false">0</f>
        <v>0</v>
      </c>
      <c r="J8" s="47" t="n">
        <f aca="false">0</f>
        <v>0</v>
      </c>
      <c r="K8" s="47" t="n">
        <f aca="false">0</f>
        <v>0</v>
      </c>
      <c r="L8" s="47" t="n">
        <f aca="false">0</f>
        <v>0</v>
      </c>
      <c r="M8" s="47" t="n">
        <f aca="false">0</f>
        <v>0</v>
      </c>
      <c r="N8" s="47" t="n">
        <f aca="false">0</f>
        <v>0</v>
      </c>
      <c r="O8" s="47" t="n">
        <f aca="false">0</f>
        <v>0</v>
      </c>
      <c r="P8" s="47" t="n">
        <f aca="false">0</f>
        <v>0</v>
      </c>
      <c r="Q8" s="47" t="n">
        <f aca="false">0</f>
        <v>0</v>
      </c>
      <c r="R8" s="47" t="n">
        <f aca="false">0</f>
        <v>0</v>
      </c>
      <c r="S8" s="47" t="n">
        <f aca="false">0</f>
        <v>0</v>
      </c>
      <c r="T8" s="47" t="n">
        <f aca="false">0</f>
        <v>0</v>
      </c>
      <c r="U8" s="47" t="n">
        <f aca="false">0</f>
        <v>0</v>
      </c>
      <c r="V8" s="47" t="n">
        <f aca="false">0</f>
        <v>0</v>
      </c>
      <c r="W8" s="47" t="n">
        <f aca="false">0</f>
        <v>0</v>
      </c>
      <c r="X8" s="47" t="n">
        <f aca="false">0</f>
        <v>0</v>
      </c>
      <c r="Y8" s="47" t="n">
        <f aca="false">0</f>
        <v>0</v>
      </c>
      <c r="Z8" s="47" t="n">
        <f aca="false">0</f>
        <v>0</v>
      </c>
    </row>
    <row r="9" customFormat="false" ht="15" hidden="false" customHeight="false" outlineLevel="0" collapsed="false">
      <c r="A9" s="12" t="s">
        <v>251</v>
      </c>
      <c r="B9" s="12" t="s">
        <v>61</v>
      </c>
      <c r="C9" s="27" t="n">
        <f aca="false">Model!$G$22</f>
        <v>60</v>
      </c>
      <c r="D9" s="27" t="n">
        <f aca="false">Model!$H$22</f>
        <v>60</v>
      </c>
      <c r="E9" s="27" t="n">
        <f aca="false">Model!$I$22</f>
        <v>60</v>
      </c>
      <c r="F9" s="27" t="n">
        <f aca="false">Model!$J$22</f>
        <v>60</v>
      </c>
      <c r="G9" s="47" t="n">
        <f aca="false">Inputs!$C$49</f>
        <v>30</v>
      </c>
      <c r="H9" s="47" t="n">
        <f aca="false">Inputs!$C$49</f>
        <v>30</v>
      </c>
      <c r="I9" s="47" t="n">
        <f aca="false">Inputs!$C$49</f>
        <v>30</v>
      </c>
      <c r="J9" s="47" t="n">
        <f aca="false">Inputs!$C$49</f>
        <v>30</v>
      </c>
      <c r="K9" s="47" t="n">
        <f aca="false">Inputs!$C$49</f>
        <v>30</v>
      </c>
      <c r="L9" s="47" t="n">
        <f aca="false">Inputs!$C$49</f>
        <v>30</v>
      </c>
      <c r="M9" s="47" t="n">
        <f aca="false">Inputs!$C$49</f>
        <v>30</v>
      </c>
      <c r="N9" s="47" t="n">
        <f aca="false">Inputs!$C$49</f>
        <v>30</v>
      </c>
      <c r="O9" s="47" t="n">
        <f aca="false">Inputs!$C$49</f>
        <v>30</v>
      </c>
      <c r="P9" s="47" t="n">
        <f aca="false">Inputs!$C$49</f>
        <v>30</v>
      </c>
      <c r="Q9" s="47" t="n">
        <f aca="false">Inputs!$C$49</f>
        <v>30</v>
      </c>
      <c r="R9" s="47" t="n">
        <f aca="false">Inputs!$C$49</f>
        <v>30</v>
      </c>
      <c r="S9" s="47" t="n">
        <f aca="false">Inputs!$C$49</f>
        <v>30</v>
      </c>
      <c r="T9" s="47" t="n">
        <f aca="false">Inputs!$C$49</f>
        <v>30</v>
      </c>
      <c r="U9" s="47" t="n">
        <f aca="false">Inputs!$C$49</f>
        <v>30</v>
      </c>
      <c r="V9" s="47" t="n">
        <f aca="false">Inputs!$C$49</f>
        <v>30</v>
      </c>
      <c r="W9" s="47" t="n">
        <f aca="false">Inputs!$C$49</f>
        <v>30</v>
      </c>
      <c r="X9" s="47" t="n">
        <f aca="false">Inputs!$C$49</f>
        <v>30</v>
      </c>
      <c r="Y9" s="47" t="n">
        <f aca="false">Inputs!$C$49</f>
        <v>30</v>
      </c>
      <c r="Z9" s="47" t="n">
        <f aca="false">Inputs!$C$49</f>
        <v>30</v>
      </c>
    </row>
    <row r="10" customFormat="false" ht="15" hidden="false" customHeight="false" outlineLevel="0" collapsed="false">
      <c r="A10" s="12" t="s">
        <v>252</v>
      </c>
      <c r="B10" s="12" t="s">
        <v>61</v>
      </c>
      <c r="C10" s="47" t="n">
        <f aca="false">(C6-C7)*C5/1000*(1-Inputs!$C$43)-C8-C9</f>
        <v>516</v>
      </c>
      <c r="D10" s="47" t="n">
        <f aca="false">(D6-D7)*D5/1000*(1-Inputs!$C$43)-D8-D9</f>
        <v>934.875</v>
      </c>
      <c r="E10" s="47" t="n">
        <f aca="false">(E6-E7)*E5/1000*(1-Inputs!$C$43)-E8-E9</f>
        <v>1323.375</v>
      </c>
      <c r="F10" s="47" t="n">
        <f aca="false">(F6-F7)*F5/1000*(1-Inputs!$C$43)-F8-F9</f>
        <v>1596</v>
      </c>
      <c r="G10" s="47" t="n">
        <f aca="false">(G6-G7)*G5/1000*(1-Inputs!$C$43)-G8-G9</f>
        <v>1626</v>
      </c>
      <c r="H10" s="47" t="n">
        <f aca="false">(H6-H7)*H5/1000*(1-Inputs!$C$43)-H8-H9</f>
        <v>1626</v>
      </c>
      <c r="I10" s="47" t="n">
        <f aca="false">(I6-I7)*I5/1000*(1-Inputs!$C$43)-I8-I9</f>
        <v>1626</v>
      </c>
      <c r="J10" s="47" t="n">
        <f aca="false">(J6-J7)*J5/1000*(1-Inputs!$C$43)-J8-J9</f>
        <v>1626</v>
      </c>
      <c r="K10" s="47" t="n">
        <f aca="false">(K6-K7)*K5/1000*(1-Inputs!$C$43)-K8-K9</f>
        <v>1626</v>
      </c>
      <c r="L10" s="47" t="n">
        <f aca="false">(L6-L7)*L5/1000*(1-Inputs!$C$43)-L8-L9</f>
        <v>1626</v>
      </c>
      <c r="M10" s="47" t="n">
        <f aca="false">(M6-M7)*M5/1000*(1-Inputs!$C$43)-M8-M9</f>
        <v>1510.08</v>
      </c>
      <c r="N10" s="47" t="n">
        <f aca="false">(N6-N7)*N5/1000*(1-Inputs!$C$43)-N8-N9</f>
        <v>1402.2744</v>
      </c>
      <c r="O10" s="47" t="n">
        <f aca="false">(O6-O7)*O5/1000*(1-Inputs!$C$43)-O8-O9</f>
        <v>1302.015192</v>
      </c>
      <c r="P10" s="47" t="n">
        <f aca="false">(P6-P7)*P5/1000*(1-Inputs!$C$43)-P8-P9</f>
        <v>1208.77412856</v>
      </c>
      <c r="Q10" s="47" t="n">
        <f aca="false">(Q6-Q7)*Q5/1000*(1-Inputs!$C$43)-Q8-Q9</f>
        <v>1122.0599395608</v>
      </c>
      <c r="R10" s="47" t="n">
        <f aca="false">(R6-R7)*R5/1000*(1-Inputs!$C$43)-R8-R9</f>
        <v>1041.41574379154</v>
      </c>
      <c r="S10" s="47" t="n">
        <f aca="false">(S6-S7)*S5/1000*(1-Inputs!$C$43)-S8-S9</f>
        <v>966.416641726135</v>
      </c>
      <c r="T10" s="47" t="n">
        <f aca="false">(T6-T7)*T5/1000*(1-Inputs!$C$43)-T8-T9</f>
        <v>896.667476805306</v>
      </c>
      <c r="U10" s="47" t="n">
        <f aca="false">(U6-U7)*U5/1000*(1-Inputs!$C$43)-U8-U9</f>
        <v>831.800753428934</v>
      </c>
      <c r="V10" s="47" t="n">
        <f aca="false">(V6-V7)*V5/1000*(1-Inputs!$C$43)-V8-V9</f>
        <v>771.474700688909</v>
      </c>
      <c r="W10" s="47" t="n">
        <f aca="false">(W6-W7)*W5/1000*(1-Inputs!$C$43)-W8-W9</f>
        <v>715.371471640685</v>
      </c>
      <c r="X10" s="47" t="n">
        <f aca="false">(X6-X7)*X5/1000*(1-Inputs!$C$43)-X8-X9</f>
        <v>663.195468625837</v>
      </c>
      <c r="Y10" s="47" t="n">
        <f aca="false">(Y6-Y7)*Y5/1000*(1-Inputs!$C$43)-Y8-Y9</f>
        <v>614.671785822029</v>
      </c>
      <c r="Z10" s="47" t="n">
        <f aca="false">(Z6-Z7)*Z5/1000*(1-Inputs!$C$43)-Z8-Z9</f>
        <v>569.544760814486</v>
      </c>
    </row>
    <row r="11" customFormat="false" ht="15" hidden="false" customHeight="false" outlineLevel="0" collapsed="false">
      <c r="A11" s="12" t="s">
        <v>253</v>
      </c>
      <c r="B11" s="12"/>
      <c r="C11" s="48" t="n">
        <f aca="false">1/(1+Inputs!$C$50)^(2027-2026-0.5)</f>
        <v>0.975900072948533</v>
      </c>
      <c r="D11" s="48" t="n">
        <f aca="false">1/(1+Inputs!$C$50)^(2028-2026-0.5)</f>
        <v>0.929428640903365</v>
      </c>
      <c r="E11" s="48" t="n">
        <f aca="false">1/(1+Inputs!$C$50)^(2029-2026-0.5)</f>
        <v>0.885170134193681</v>
      </c>
      <c r="F11" s="48" t="n">
        <f aca="false">1/(1+Inputs!$C$50)^(2030-2026-0.5)</f>
        <v>0.843019175422553</v>
      </c>
      <c r="G11" s="48" t="n">
        <f aca="false">1/(1+Inputs!$C$50)^(2031-2026-0.5)</f>
        <v>0.802875405164336</v>
      </c>
      <c r="H11" s="48" t="n">
        <f aca="false">1/(1+Inputs!$C$50)^(2032-2026-0.5)</f>
        <v>0.764643243013654</v>
      </c>
      <c r="I11" s="48" t="n">
        <f aca="false">1/(1+Inputs!$C$50)^(2033-2026-0.5)</f>
        <v>0.728231660013003</v>
      </c>
      <c r="J11" s="48" t="n">
        <f aca="false">1/(1+Inputs!$C$50)^(2034-2026-0.5)</f>
        <v>0.693553961917146</v>
      </c>
      <c r="K11" s="48" t="n">
        <f aca="false">1/(1+Inputs!$C$50)^(2035-2026-0.5)</f>
        <v>0.660527582778234</v>
      </c>
      <c r="L11" s="48" t="n">
        <f aca="false">1/(1+Inputs!$C$50)^(2036-2026-0.5)</f>
        <v>0.629073888360223</v>
      </c>
      <c r="M11" s="48" t="n">
        <f aca="false">1/(1+Inputs!$C$50)^(2037-2026-0.5)</f>
        <v>0.599117988914498</v>
      </c>
      <c r="N11" s="48" t="n">
        <f aca="false">1/(1+Inputs!$C$50)^(2038-2026-0.5)</f>
        <v>0.570588560870951</v>
      </c>
      <c r="O11" s="48" t="n">
        <f aca="false">1/(1+Inputs!$C$50)^(2039-2026-0.5)</f>
        <v>0.543417677019953</v>
      </c>
      <c r="P11" s="48" t="n">
        <f aca="false">1/(1+Inputs!$C$50)^(2040-2026-0.5)</f>
        <v>0.517540644780908</v>
      </c>
      <c r="Q11" s="48" t="n">
        <f aca="false">1/(1+Inputs!$C$50)^(2041-2026-0.5)</f>
        <v>0.492895852172293</v>
      </c>
      <c r="R11" s="48" t="n">
        <f aca="false">1/(1+Inputs!$C$50)^(2042-2026-0.5)</f>
        <v>0.469424621116469</v>
      </c>
      <c r="S11" s="48" t="n">
        <f aca="false">1/(1+Inputs!$C$50)^(2043-2026-0.5)</f>
        <v>0.447071067729971</v>
      </c>
      <c r="T11" s="48" t="n">
        <f aca="false">1/(1+Inputs!$C$50)^(2044-2026-0.5)</f>
        <v>0.425781969266639</v>
      </c>
      <c r="U11" s="48" t="n">
        <f aca="false">1/(1+Inputs!$C$50)^(2045-2026-0.5)</f>
        <v>0.405506637396799</v>
      </c>
      <c r="V11" s="48" t="n">
        <f aca="false">1/(1+Inputs!$C$50)^(2046-2026-0.5)</f>
        <v>0.386196797520761</v>
      </c>
      <c r="W11" s="48" t="n">
        <f aca="false">1/(1+Inputs!$C$50)^(2047-2026-0.5)</f>
        <v>0.367806473829296</v>
      </c>
      <c r="X11" s="48" t="n">
        <f aca="false">1/(1+Inputs!$C$50)^(2048-2026-0.5)</f>
        <v>0.350291879837425</v>
      </c>
      <c r="Y11" s="48" t="n">
        <f aca="false">1/(1+Inputs!$C$50)^(2049-2026-0.5)</f>
        <v>0.333611314130881</v>
      </c>
      <c r="Z11" s="48" t="n">
        <f aca="false">1/(1+Inputs!$C$50)^(2050-2026-0.5)</f>
        <v>0.317725061077029</v>
      </c>
    </row>
    <row r="12" customFormat="false" ht="15" hidden="false" customHeight="false" outlineLevel="0" collapsed="false">
      <c r="A12" s="12" t="s">
        <v>208</v>
      </c>
      <c r="B12" s="12" t="s">
        <v>61</v>
      </c>
      <c r="C12" s="47" t="n">
        <f aca="false">C10*C11</f>
        <v>503.564437641443</v>
      </c>
      <c r="D12" s="47" t="n">
        <f aca="false">D10*D11</f>
        <v>868.899600664533</v>
      </c>
      <c r="E12" s="47" t="n">
        <f aca="false">E10*E11</f>
        <v>1171.41202633856</v>
      </c>
      <c r="F12" s="47" t="n">
        <f aca="false">F10*F11</f>
        <v>1345.45860397439</v>
      </c>
      <c r="G12" s="47" t="n">
        <f aca="false">G10*G11</f>
        <v>1305.47540879721</v>
      </c>
      <c r="H12" s="47" t="n">
        <f aca="false">H10*H11</f>
        <v>1243.3099131402</v>
      </c>
      <c r="I12" s="47" t="n">
        <f aca="false">I10*I11</f>
        <v>1184.10467918114</v>
      </c>
      <c r="J12" s="47" t="n">
        <f aca="false">J10*J11</f>
        <v>1127.71874207728</v>
      </c>
      <c r="K12" s="47" t="n">
        <f aca="false">K10*K11</f>
        <v>1074.01784959741</v>
      </c>
      <c r="L12" s="47" t="n">
        <f aca="false">L10*L11</f>
        <v>1022.87414247372</v>
      </c>
      <c r="M12" s="47" t="n">
        <f aca="false">M10*M11</f>
        <v>904.716092700005</v>
      </c>
      <c r="N12" s="47" t="n">
        <f aca="false">N10*N11</f>
        <v>800.121731842176</v>
      </c>
      <c r="O12" s="47" t="n">
        <f aca="false">O10*O11</f>
        <v>707.538071081328</v>
      </c>
      <c r="P12" s="47" t="n">
        <f aca="false">P10*P11</f>
        <v>625.589741889422</v>
      </c>
      <c r="Q12" s="47" t="n">
        <f aca="false">Q10*Q11</f>
        <v>553.058690098212</v>
      </c>
      <c r="R12" s="47" t="n">
        <f aca="false">R10*R11</f>
        <v>488.866190954071</v>
      </c>
      <c r="S12" s="47" t="n">
        <f aca="false">S10*S11</f>
        <v>432.056919888516</v>
      </c>
      <c r="T12" s="47" t="n">
        <f aca="false">T10*T11</f>
        <v>381.784844051511</v>
      </c>
      <c r="U12" s="47" t="n">
        <f aca="false">U10*U11</f>
        <v>337.300726507091</v>
      </c>
      <c r="V12" s="47" t="n">
        <f aca="false">V10*V11</f>
        <v>297.941058774344</v>
      </c>
      <c r="W12" s="47" t="n">
        <f aca="false">W10*W11</f>
        <v>263.118258462235</v>
      </c>
      <c r="X12" s="47" t="n">
        <f aca="false">X10*X11</f>
        <v>232.311987404606</v>
      </c>
      <c r="Y12" s="47" t="n">
        <f aca="false">Y10*Y11</f>
        <v>205.061462227262</v>
      </c>
      <c r="Z12" s="47" t="n">
        <f aca="false">Z10*Z11</f>
        <v>180.958643915885</v>
      </c>
    </row>
    <row r="14" customFormat="false" ht="15" hidden="false" customHeight="false" outlineLevel="0" collapsed="false">
      <c r="A14" s="14" t="s">
        <v>254</v>
      </c>
      <c r="B14" s="15"/>
      <c r="C14" s="15"/>
    </row>
    <row r="15" customFormat="false" ht="15" hidden="false" customHeight="false" outlineLevel="0" collapsed="false">
      <c r="A15" s="12" t="s">
        <v>255</v>
      </c>
      <c r="B15" s="28" t="n">
        <f aca="false">SUM(C12:Z12)</f>
        <v>17257.2598236826</v>
      </c>
      <c r="C15" s="3"/>
    </row>
    <row r="16" customFormat="false" ht="15" hidden="false" customHeight="false" outlineLevel="0" collapsed="false">
      <c r="A16" s="12" t="s">
        <v>256</v>
      </c>
      <c r="B16" s="28" t="n">
        <f aca="false">-Model!$F$29</f>
        <v>471.741375</v>
      </c>
      <c r="C16" s="3"/>
    </row>
    <row r="17" customFormat="false" ht="15" hidden="false" customHeight="false" outlineLevel="0" collapsed="false">
      <c r="A17" s="12" t="s">
        <v>257</v>
      </c>
      <c r="B17" s="33" t="n">
        <f aca="false">NAV!$B$15+NAV!$B$16</f>
        <v>17729.0011986826</v>
      </c>
      <c r="C17" s="3"/>
    </row>
    <row r="18" customFormat="false" ht="15" hidden="false" customHeight="false" outlineLevel="0" collapsed="false">
      <c r="A18" s="12" t="s">
        <v>258</v>
      </c>
      <c r="B18" s="37" t="n">
        <f aca="false">NAV!$B$17/Inputs!$C$29</f>
        <v>42.3530845644591</v>
      </c>
      <c r="C1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3" t="s">
        <v>259</v>
      </c>
    </row>
    <row r="2" customFormat="false" ht="15" hidden="false" customHeight="false" outlineLevel="0" collapsed="false">
      <c r="A2" s="3" t="s">
        <v>260</v>
      </c>
    </row>
    <row r="4" customFormat="false" ht="15" hidden="false" customHeight="false" outlineLevel="0" collapsed="false">
      <c r="A4" s="14" t="s">
        <v>261</v>
      </c>
      <c r="B4" s="15"/>
      <c r="C4" s="15"/>
      <c r="D4" s="15"/>
      <c r="E4" s="15"/>
      <c r="F4" s="15"/>
      <c r="G4" s="15"/>
      <c r="H4" s="15"/>
    </row>
    <row r="5" customFormat="false" ht="15" hidden="false" customHeight="false" outlineLevel="0" collapsed="false">
      <c r="A5" s="3" t="s">
        <v>262</v>
      </c>
      <c r="B5" s="49" t="n">
        <v>8</v>
      </c>
      <c r="C5" s="49" t="n">
        <v>9</v>
      </c>
      <c r="D5" s="49" t="n">
        <v>10</v>
      </c>
      <c r="E5" s="49" t="n">
        <v>11</v>
      </c>
      <c r="F5" s="49" t="n">
        <v>12</v>
      </c>
    </row>
    <row r="6" customFormat="false" ht="15" hidden="false" customHeight="false" outlineLevel="0" collapsed="false">
      <c r="A6" s="50" t="n">
        <v>0.8</v>
      </c>
      <c r="B6" s="51" t="n">
        <f aca="false">(Inputs!$C$35*$A6*Valuation!$B$23+(1-Inputs!$C$35)*B$5*Valuation!$B$26)/Inputs!$C$28</f>
        <v>30.9307225978811</v>
      </c>
      <c r="C6" s="51" t="n">
        <f aca="false">(Inputs!$C$35*$A6*Valuation!$B$23+(1-Inputs!$C$35)*C$5*Valuation!$B$26)/Inputs!$C$28</f>
        <v>32.6794086943933</v>
      </c>
      <c r="D6" s="51" t="n">
        <f aca="false">(Inputs!$C$35*$A6*Valuation!$B$23+(1-Inputs!$C$35)*D$5*Valuation!$B$26)/Inputs!$C$28</f>
        <v>34.4280947909055</v>
      </c>
      <c r="E6" s="51" t="n">
        <f aca="false">(Inputs!$C$35*$A6*Valuation!$B$23+(1-Inputs!$C$35)*E$5*Valuation!$B$26)/Inputs!$C$28</f>
        <v>36.1767808874176</v>
      </c>
      <c r="F6" s="51" t="n">
        <f aca="false">(Inputs!$C$35*$A6*Valuation!$B$23+(1-Inputs!$C$35)*F$5*Valuation!$B$26)/Inputs!$C$28</f>
        <v>37.9254669839298</v>
      </c>
    </row>
    <row r="7" customFormat="false" ht="15" hidden="false" customHeight="false" outlineLevel="0" collapsed="false">
      <c r="A7" s="50" t="n">
        <v>0.9</v>
      </c>
      <c r="B7" s="51" t="n">
        <f aca="false">(Inputs!$C$35*$A7*Valuation!$B$23+(1-Inputs!$C$35)*B$5*Valuation!$B$26)/Inputs!$C$28</f>
        <v>33.0483768261041</v>
      </c>
      <c r="C7" s="51" t="n">
        <f aca="false">(Inputs!$C$35*$A7*Valuation!$B$23+(1-Inputs!$C$35)*C$5*Valuation!$B$26)/Inputs!$C$28</f>
        <v>34.7970629226162</v>
      </c>
      <c r="D7" s="51" t="n">
        <f aca="false">(Inputs!$C$35*$A7*Valuation!$B$23+(1-Inputs!$C$35)*D$5*Valuation!$B$26)/Inputs!$C$28</f>
        <v>36.5457490191284</v>
      </c>
      <c r="E7" s="51" t="n">
        <f aca="false">(Inputs!$C$35*$A7*Valuation!$B$23+(1-Inputs!$C$35)*E$5*Valuation!$B$26)/Inputs!$C$28</f>
        <v>38.2944351156406</v>
      </c>
      <c r="F7" s="51" t="n">
        <f aca="false">(Inputs!$C$35*$A7*Valuation!$B$23+(1-Inputs!$C$35)*F$5*Valuation!$B$26)/Inputs!$C$28</f>
        <v>40.0431212121528</v>
      </c>
    </row>
    <row r="8" customFormat="false" ht="15" hidden="false" customHeight="false" outlineLevel="0" collapsed="false">
      <c r="A8" s="50" t="n">
        <v>1</v>
      </c>
      <c r="B8" s="51" t="n">
        <f aca="false">(Inputs!$C$35*$A8*Valuation!$B$23+(1-Inputs!$C$35)*B$5*Valuation!$B$26)/Inputs!$C$28</f>
        <v>35.166031054327</v>
      </c>
      <c r="C8" s="51" t="n">
        <f aca="false">(Inputs!$C$35*$A8*Valuation!$B$23+(1-Inputs!$C$35)*C$5*Valuation!$B$26)/Inputs!$C$28</f>
        <v>36.9147171508392</v>
      </c>
      <c r="D8" s="51" t="n">
        <f aca="false">(Inputs!$C$35*$A8*Valuation!$B$23+(1-Inputs!$C$35)*D$5*Valuation!$B$26)/Inputs!$C$28</f>
        <v>38.6634032473514</v>
      </c>
      <c r="E8" s="51" t="n">
        <f aca="false">(Inputs!$C$35*$A8*Valuation!$B$23+(1-Inputs!$C$35)*E$5*Valuation!$B$26)/Inputs!$C$28</f>
        <v>40.4120893438635</v>
      </c>
      <c r="F8" s="51" t="n">
        <f aca="false">(Inputs!$C$35*$A8*Valuation!$B$23+(1-Inputs!$C$35)*F$5*Valuation!$B$26)/Inputs!$C$28</f>
        <v>42.1607754403757</v>
      </c>
    </row>
    <row r="9" customFormat="false" ht="15" hidden="false" customHeight="false" outlineLevel="0" collapsed="false">
      <c r="A9" s="50" t="n">
        <v>1.1</v>
      </c>
      <c r="B9" s="51" t="n">
        <f aca="false">(Inputs!$C$35*$A9*Valuation!$B$23+(1-Inputs!$C$35)*B$5*Valuation!$B$26)/Inputs!$C$28</f>
        <v>37.28368528255</v>
      </c>
      <c r="C9" s="51" t="n">
        <f aca="false">(Inputs!$C$35*$A9*Valuation!$B$23+(1-Inputs!$C$35)*C$5*Valuation!$B$26)/Inputs!$C$28</f>
        <v>39.0323713790621</v>
      </c>
      <c r="D9" s="51" t="n">
        <f aca="false">(Inputs!$C$35*$A9*Valuation!$B$23+(1-Inputs!$C$35)*D$5*Valuation!$B$26)/Inputs!$C$28</f>
        <v>40.7810574755743</v>
      </c>
      <c r="E9" s="51" t="n">
        <f aca="false">(Inputs!$C$35*$A9*Valuation!$B$23+(1-Inputs!$C$35)*E$5*Valuation!$B$26)/Inputs!$C$28</f>
        <v>42.5297435720865</v>
      </c>
      <c r="F9" s="51" t="n">
        <f aca="false">(Inputs!$C$35*$A9*Valuation!$B$23+(1-Inputs!$C$35)*F$5*Valuation!$B$26)/Inputs!$C$28</f>
        <v>44.2784296685987</v>
      </c>
    </row>
    <row r="10" customFormat="false" ht="15" hidden="false" customHeight="false" outlineLevel="0" collapsed="false">
      <c r="A10" s="50" t="n">
        <v>1.2</v>
      </c>
      <c r="B10" s="51" t="n">
        <f aca="false">(Inputs!$C$35*$A10*Valuation!$B$23+(1-Inputs!$C$35)*B$5*Valuation!$B$26)/Inputs!$C$28</f>
        <v>39.4013395107729</v>
      </c>
      <c r="C10" s="51" t="n">
        <f aca="false">(Inputs!$C$35*$A10*Valuation!$B$23+(1-Inputs!$C$35)*C$5*Valuation!$B$26)/Inputs!$C$28</f>
        <v>41.1500256072851</v>
      </c>
      <c r="D10" s="51" t="n">
        <f aca="false">(Inputs!$C$35*$A10*Valuation!$B$23+(1-Inputs!$C$35)*D$5*Valuation!$B$26)/Inputs!$C$28</f>
        <v>42.8987117037973</v>
      </c>
      <c r="E10" s="51" t="n">
        <f aca="false">(Inputs!$C$35*$A10*Valuation!$B$23+(1-Inputs!$C$35)*E$5*Valuation!$B$26)/Inputs!$C$28</f>
        <v>44.6473978003095</v>
      </c>
      <c r="F10" s="51" t="n">
        <f aca="false">(Inputs!$C$35*$A10*Valuation!$B$23+(1-Inputs!$C$35)*F$5*Valuation!$B$26)/Inputs!$C$28</f>
        <v>46.3960838968216</v>
      </c>
    </row>
    <row r="13" customFormat="false" ht="15" hidden="false" customHeight="false" outlineLevel="0" collapsed="false">
      <c r="A13" s="14" t="s">
        <v>263</v>
      </c>
      <c r="B13" s="15"/>
      <c r="C13" s="15"/>
      <c r="D13" s="15"/>
      <c r="E13" s="15"/>
      <c r="F13" s="15"/>
      <c r="G13" s="15"/>
      <c r="H13" s="15"/>
    </row>
    <row r="14" customFormat="false" ht="15" hidden="false" customHeight="false" outlineLevel="0" collapsed="false">
      <c r="B14" s="52" t="n">
        <v>0</v>
      </c>
      <c r="C14" s="52" t="n">
        <v>0.01</v>
      </c>
      <c r="D14" s="52" t="n">
        <v>0.02</v>
      </c>
      <c r="E14" s="52" t="n">
        <v>0.03</v>
      </c>
    </row>
    <row r="15" customFormat="false" ht="15" hidden="false" customHeight="false" outlineLevel="0" collapsed="false">
      <c r="A15" s="52" t="n">
        <v>0.06</v>
      </c>
      <c r="B15" s="51" t="n">
        <f aca="false">(Valuation!B44/(1+$A15)^1+Valuation!C44/(1+$A15)^2+Valuation!D44/(1+$A15)^3+Valuation!E44/(1+$A15)^4+Valuation!E44*(1+B$14)/($A15-B$14)/(1+$A15)^4-Valuation!$B$53+Valuation!$B$54)/Valuation!$B$7</f>
        <v>60.2856506140244</v>
      </c>
      <c r="C15" s="51" t="n">
        <f aca="false">(Valuation!B44/(1+$A15)^1+Valuation!C44/(1+$A15)^2+Valuation!D44/(1+$A15)^3+Valuation!E44/(1+$A15)^4+Valuation!E44*(1+C$14)/($A15-C$14)/(1+$A15)^4-Valuation!$B$53+Valuation!$B$54)/Valuation!$B$7</f>
        <v>70.9563973549031</v>
      </c>
      <c r="D15" s="51" t="n">
        <f aca="false">(Valuation!B44/(1+$A15)^1+Valuation!C44/(1+$A15)^2+Valuation!D44/(1+$A15)^3+Valuation!E44/(1+$A15)^4+Valuation!E44*(1+D$14)/($A15-D$14)/(1+$A15)^4-Valuation!$B$53+Valuation!$B$54)/Valuation!$B$7</f>
        <v>86.9625174662212</v>
      </c>
      <c r="E15" s="51" t="n">
        <f aca="false">(Valuation!B44/(1+$A15)^1+Valuation!C44/(1+$A15)^2+Valuation!D44/(1+$A15)^3+Valuation!E44/(1+$A15)^4+Valuation!E44*(1+E$14)/($A15-E$14)/(1+$A15)^4-Valuation!$B$53+Valuation!$B$54)/Valuation!$B$7</f>
        <v>113.639384318418</v>
      </c>
    </row>
    <row r="16" customFormat="false" ht="15" hidden="false" customHeight="false" outlineLevel="0" collapsed="false">
      <c r="A16" s="52" t="n">
        <v>0.07</v>
      </c>
      <c r="B16" s="51" t="n">
        <f aca="false">(Valuation!B44/(1+$A16)^1+Valuation!C44/(1+$A16)^2+Valuation!D44/(1+$A16)^3+Valuation!E44/(1+$A16)^4+Valuation!E44*(1+B$14)/($A16-B$14)/(1+$A16)^4-Valuation!$B$53+Valuation!$B$54)/Valuation!$B$7</f>
        <v>51.2718590365277</v>
      </c>
      <c r="C16" s="51" t="n">
        <f aca="false">(Valuation!B44/(1+$A16)^1+Valuation!C44/(1+$A16)^2+Valuation!D44/(1+$A16)^3+Valuation!E44/(1+$A16)^4+Valuation!E44*(1+C$14)/($A16-C$14)/(1+$A16)^4-Valuation!$B$53+Valuation!$B$54)/Valuation!$B$7</f>
        <v>58.6821120995598</v>
      </c>
      <c r="D16" s="51" t="n">
        <f aca="false">(Valuation!B44/(1+$A16)^1+Valuation!C44/(1+$A16)^2+Valuation!D44/(1+$A16)^3+Valuation!E44/(1+$A16)^4+Valuation!E44*(1+D$14)/($A16-D$14)/(1+$A16)^4-Valuation!$B$53+Valuation!$B$54)/Valuation!$B$7</f>
        <v>69.0564663878047</v>
      </c>
      <c r="E16" s="51" t="n">
        <f aca="false">(Valuation!B44/(1+$A16)^1+Valuation!C44/(1+$A16)^2+Valuation!D44/(1+$A16)^3+Valuation!E44/(1+$A16)^4+Valuation!E44*(1+E$14)/($A16-E$14)/(1+$A16)^4-Valuation!$B$53+Valuation!$B$54)/Valuation!$B$7</f>
        <v>84.6179978201721</v>
      </c>
    </row>
    <row r="17" customFormat="false" ht="15" hidden="false" customHeight="false" outlineLevel="0" collapsed="false">
      <c r="A17" s="52" t="n">
        <v>0.08</v>
      </c>
      <c r="B17" s="51" t="n">
        <f aca="false">(Valuation!B44/(1+$A17)^1+Valuation!C44/(1+$A17)^2+Valuation!D44/(1+$A17)^3+Valuation!E44/(1+$A17)^4+Valuation!E44*(1+B$14)/($A17-B$14)/(1+$A17)^4-Valuation!$B$53+Valuation!$B$54)/Valuation!$B$7</f>
        <v>44.5258354818917</v>
      </c>
      <c r="C17" s="51" t="n">
        <f aca="false">(Valuation!B44/(1+$A17)^1+Valuation!C44/(1+$A17)^2+Valuation!D44/(1+$A17)^3+Valuation!E44/(1+$A17)^4+Valuation!E44*(1+C$14)/($A17-C$14)/(1+$A17)^4-Valuation!$B$53+Valuation!$B$54)/Valuation!$B$7</f>
        <v>49.9305700421102</v>
      </c>
      <c r="D17" s="51" t="n">
        <f aca="false">(Valuation!B44/(1+$A17)^1+Valuation!C44/(1+$A17)^2+Valuation!D44/(1+$A17)^3+Valuation!E44/(1+$A17)^4+Valuation!E44*(1+D$14)/($A17-D$14)/(1+$A17)^4-Valuation!$B$53+Valuation!$B$54)/Valuation!$B$7</f>
        <v>57.1368827890683</v>
      </c>
      <c r="E17" s="51" t="n">
        <f aca="false">(Valuation!B44/(1+$A17)^1+Valuation!C44/(1+$A17)^2+Valuation!D44/(1+$A17)^3+Valuation!E44/(1+$A17)^4+Valuation!E44*(1+E$14)/($A17-E$14)/(1+$A17)^4-Valuation!$B$53+Valuation!$B$54)/Valuation!$B$7</f>
        <v>67.2257206348096</v>
      </c>
    </row>
    <row r="18" customFormat="false" ht="15" hidden="false" customHeight="false" outlineLevel="0" collapsed="false">
      <c r="A18" s="52" t="n">
        <v>0.09</v>
      </c>
      <c r="B18" s="51" t="n">
        <f aca="false">(Valuation!B44/(1+$A18)^1+Valuation!C44/(1+$A18)^2+Valuation!D44/(1+$A18)^3+Valuation!E44/(1+$A18)^4+Valuation!E44*(1+B$14)/($A18-B$14)/(1+$A18)^4-Valuation!$B$53+Valuation!$B$54)/Valuation!$B$7</f>
        <v>39.2911534005254</v>
      </c>
      <c r="C18" s="51" t="n">
        <f aca="false">(Valuation!B44/(1+$A18)^1+Valuation!C44/(1+$A18)^2+Valuation!D44/(1+$A18)^3+Valuation!E44/(1+$A18)^4+Valuation!E44*(1+C$14)/($A18-C$14)/(1+$A18)^4-Valuation!$B$53+Valuation!$B$54)/Valuation!$B$7</f>
        <v>43.3801963551408</v>
      </c>
      <c r="D18" s="51" t="n">
        <f aca="false">(Valuation!B44/(1+$A18)^1+Valuation!C44/(1+$A18)^2+Valuation!D44/(1+$A18)^3+Valuation!E44/(1+$A18)^4+Valuation!E44*(1+D$14)/($A18-D$14)/(1+$A18)^4-Valuation!$B$53+Valuation!$B$54)/Valuation!$B$7</f>
        <v>48.6375372967893</v>
      </c>
      <c r="E18" s="51" t="n">
        <f aca="false">(Valuation!B44/(1+$A18)^1+Valuation!C44/(1+$A18)^2+Valuation!D44/(1+$A18)^3+Valuation!E44/(1+$A18)^4+Valuation!E44*(1+E$14)/($A18-E$14)/(1+$A18)^4-Valuation!$B$53+Valuation!$B$54)/Valuation!$B$7</f>
        <v>55.6473252189872</v>
      </c>
    </row>
    <row r="19" customFormat="false" ht="15" hidden="false" customHeight="false" outlineLevel="0" collapsed="false">
      <c r="A19" s="52" t="n">
        <v>0.1</v>
      </c>
      <c r="B19" s="51" t="n">
        <f aca="false">(Valuation!B44/(1+$A19)^1+Valuation!C44/(1+$A19)^2+Valuation!D44/(1+$A19)^3+Valuation!E44/(1+$A19)^4+Valuation!E44*(1+B$14)/($A19-B$14)/(1+$A19)^4-Valuation!$B$53+Valuation!$B$54)/Valuation!$B$7</f>
        <v>35.1139792118141</v>
      </c>
      <c r="C19" s="51" t="n">
        <f aca="false">(Valuation!B44/(1+$A19)^1+Valuation!C44/(1+$A19)^2+Valuation!D44/(1+$A19)^3+Valuation!E44/(1+$A19)^4+Valuation!E44*(1+C$14)/($A19-C$14)/(1+$A19)^4-Valuation!$B$53+Valuation!$B$54)/Valuation!$B$7</f>
        <v>38.2968066849757</v>
      </c>
      <c r="D19" s="51" t="n">
        <f aca="false">(Valuation!B44/(1+$A19)^1+Valuation!C44/(1+$A19)^2+Valuation!D44/(1+$A19)^3+Valuation!E44/(1+$A19)^4+Valuation!E44*(1+D$14)/($A19-D$14)/(1+$A19)^4-Valuation!$B$53+Valuation!$B$54)/Valuation!$B$7</f>
        <v>42.2753410264277</v>
      </c>
      <c r="E19" s="51" t="n">
        <f aca="false">(Valuation!B44/(1+$A19)^1+Valuation!C44/(1+$A19)^2+Valuation!D44/(1+$A19)^3+Valuation!E44/(1+$A19)^4+Valuation!E44*(1+E$14)/($A19-E$14)/(1+$A19)^4-Valuation!$B$53+Valuation!$B$54)/Valuation!$B$7</f>
        <v>47.3905994654375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0" min="3" style="0" width="11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3" t="s">
        <v>264</v>
      </c>
    </row>
    <row r="2" customFormat="false" ht="15" hidden="false" customHeight="false" outlineLevel="0" collapsed="false">
      <c r="A2" s="3" t="s">
        <v>265</v>
      </c>
    </row>
    <row r="4" customFormat="false" ht="15" hidden="false" customHeight="false" outlineLevel="0" collapsed="false">
      <c r="A4" s="16" t="s">
        <v>266</v>
      </c>
      <c r="B4" s="17" t="s">
        <v>41</v>
      </c>
      <c r="C4" s="17" t="s">
        <v>42</v>
      </c>
      <c r="D4" s="17" t="s">
        <v>43</v>
      </c>
      <c r="E4" s="17" t="s">
        <v>44</v>
      </c>
      <c r="F4" s="17" t="s">
        <v>45</v>
      </c>
      <c r="G4" s="17" t="s">
        <v>46</v>
      </c>
      <c r="H4" s="17" t="s">
        <v>47</v>
      </c>
      <c r="I4" s="17" t="s">
        <v>48</v>
      </c>
      <c r="J4" s="17" t="s">
        <v>49</v>
      </c>
      <c r="K4" s="17" t="s">
        <v>267</v>
      </c>
    </row>
    <row r="5" customFormat="false" ht="15" hidden="false" customHeight="false" outlineLevel="0" collapsed="false">
      <c r="A5" s="12" t="s">
        <v>268</v>
      </c>
      <c r="B5" s="12"/>
      <c r="C5" s="53" t="n">
        <f aca="false">IFERROR(Model!C9/Model!C7,"")</f>
        <v>0.548042704626335</v>
      </c>
      <c r="D5" s="53" t="n">
        <f aca="false">IFERROR(Model!D9/Model!D7,"")</f>
        <v>0.615236051502146</v>
      </c>
      <c r="E5" s="53" t="n">
        <f aca="false">IFERROR(Model!E9/Model!E7,"")</f>
        <v>0.558333333333333</v>
      </c>
      <c r="F5" s="53" t="n">
        <f aca="false">IFERROR(Model!F9/Model!F7,"")</f>
        <v>0.586879407124155</v>
      </c>
      <c r="G5" s="53" t="n">
        <f aca="false">IFERROR(Model!G9/Model!G7,"")</f>
        <v>0.6125</v>
      </c>
      <c r="H5" s="53" t="n">
        <f aca="false">IFERROR(Model!H9/Model!H7,"")</f>
        <v>0.644736842105263</v>
      </c>
      <c r="I5" s="53" t="n">
        <f aca="false">IFERROR(Model!I9/Model!I7,"")</f>
        <v>0.652777777777778</v>
      </c>
      <c r="J5" s="53" t="n">
        <f aca="false">IFERROR(Model!J9/Model!J7,"")</f>
        <v>0.657142857142857</v>
      </c>
      <c r="K5" s="3"/>
    </row>
    <row r="6" customFormat="false" ht="15" hidden="false" customHeight="false" outlineLevel="0" collapsed="false">
      <c r="A6" s="12" t="s">
        <v>269</v>
      </c>
      <c r="B6" s="12"/>
      <c r="C6" s="53" t="n">
        <f aca="false">IFERROR(Model!C23/Model!C18,"")</f>
        <v>0.442223060480322</v>
      </c>
      <c r="D6" s="53" t="n">
        <f aca="false">IFERROR(Model!D23/Model!D18,"")</f>
        <v>0.516972380349989</v>
      </c>
      <c r="E6" s="53" t="n">
        <f aca="false">IFERROR(Model!E23/Model!E18,"")</f>
        <v>0.190991105502241</v>
      </c>
      <c r="F6" s="53" t="n">
        <f aca="false">IFERROR(Model!F23/Model!F18,"")</f>
        <v>0.332337999745167</v>
      </c>
      <c r="G6" s="53" t="n">
        <f aca="false">IFERROR(Model!G23/Model!G18,"")</f>
        <v>0.352459016393443</v>
      </c>
      <c r="H6" s="53" t="n">
        <f aca="false">IFERROR(Model!H23/Model!H18,"")</f>
        <v>0.530764317649564</v>
      </c>
      <c r="I6" s="53" t="n">
        <f aca="false">IFERROR(Model!I23/Model!I18,"")</f>
        <v>0.687512176115332</v>
      </c>
      <c r="J6" s="53" t="n">
        <f aca="false">IFERROR(Model!J23/Model!J18,"")</f>
        <v>0.764367816091954</v>
      </c>
      <c r="K6" s="3"/>
    </row>
    <row r="7" customFormat="false" ht="15" hidden="false" customHeight="false" outlineLevel="0" collapsed="false">
      <c r="A7" s="12" t="s">
        <v>270</v>
      </c>
      <c r="B7" s="12"/>
      <c r="E7" s="53" t="n">
        <f aca="false">IFERROR((Model!E21+Model!E22)/Model!E18,"")</f>
        <v>0.605273750185365</v>
      </c>
      <c r="G7" s="53" t="n">
        <f aca="false">IFERROR((Model!G21+Model!G22)/Model!G18,"")</f>
        <v>0.450819672131148</v>
      </c>
      <c r="H7" s="53" t="n">
        <f aca="false">IFERROR((Model!H21+Model!H22)/Model!H18,"")</f>
        <v>0.272514370875027</v>
      </c>
      <c r="I7" s="53" t="n">
        <f aca="false">IFERROR((Model!I21+Model!I22)/Model!I18,"")</f>
        <v>0.109097993376193</v>
      </c>
      <c r="J7" s="53" t="n">
        <f aca="false">IFERROR((Model!J21+Model!J22)/Model!J18,"")</f>
        <v>0.028735632183908</v>
      </c>
      <c r="K7" s="3"/>
    </row>
    <row r="8" customFormat="false" ht="15" hidden="false" customHeight="false" outlineLevel="0" collapsed="false">
      <c r="A8" s="12" t="s">
        <v>271</v>
      </c>
      <c r="B8" s="12"/>
      <c r="G8" s="53" t="n">
        <f aca="false">IFERROR(Model!G16/AVERAGE(Model!F30,Model!G30),"")</f>
        <v>0.197005574550911</v>
      </c>
      <c r="H8" s="53" t="n">
        <f aca="false">IFERROR(Model!H16/AVERAGE(Model!G30,Model!H30),"")</f>
        <v>0.196732223824153</v>
      </c>
      <c r="I8" s="53" t="n">
        <f aca="false">IFERROR(Model!I16/AVERAGE(Model!H30,Model!I30),"")</f>
        <v>0.177828098585692</v>
      </c>
      <c r="J8" s="53" t="n">
        <f aca="false">IFERROR(Model!J16/AVERAGE(Model!I30,Model!J30),"")</f>
        <v>0.162941562913218</v>
      </c>
      <c r="K8" s="3" t="s">
        <v>272</v>
      </c>
    </row>
    <row r="9" customFormat="false" ht="15" hidden="false" customHeight="false" outlineLevel="0" collapsed="false">
      <c r="A9" s="12" t="s">
        <v>273</v>
      </c>
      <c r="B9" s="12"/>
      <c r="C9" s="53" t="n">
        <f aca="false">IFERROR(Model!C25/Model!C15,"")</f>
        <v>0.0714285714285714</v>
      </c>
      <c r="F9" s="53" t="n">
        <f aca="false">IFERROR(Model!F25/Model!F15,"")</f>
        <v>0.0721367826532881</v>
      </c>
      <c r="G9" s="53" t="n">
        <f aca="false">IFERROR(Model!G25/Model!G15,"")</f>
        <v>0.0620148148148148</v>
      </c>
      <c r="H9" s="53" t="n">
        <f aca="false">IFERROR(Model!H25/Model!H15,"")</f>
        <v>0.0515447811447811</v>
      </c>
      <c r="I9" s="53" t="n">
        <f aca="false">IFERROR(Model!I25/Model!I15,"")</f>
        <v>0.0477419584781253</v>
      </c>
      <c r="J9" s="53" t="n">
        <f aca="false">IFERROR(Model!J25/Model!J15,"")</f>
        <v>0.0442962962962963</v>
      </c>
      <c r="K9" s="3"/>
    </row>
    <row r="10" customFormat="false" ht="15" hidden="false" customHeight="false" outlineLevel="0" collapsed="false">
      <c r="A10" s="12" t="s">
        <v>274</v>
      </c>
      <c r="B10" s="12"/>
      <c r="F10" s="54" t="n">
        <f aca="false">IFERROR(Model!F29/Model!F18,"")</f>
        <v>-0.431265244973765</v>
      </c>
      <c r="G10" s="54" t="n">
        <f aca="false">IFERROR(Model!G29/Model!G18,"")</f>
        <v>-0.628938097677596</v>
      </c>
      <c r="H10" s="54" t="n">
        <f aca="false">IFERROR(Model!H29/Model!H18,"")</f>
        <v>-1.01549322262437</v>
      </c>
      <c r="I10" s="54" t="n">
        <f aca="false">IFERROR(Model!I29/Model!I18,"")</f>
        <v>-1.58195382817066</v>
      </c>
      <c r="J10" s="54" t="n">
        <f aca="false">IFERROR(Model!J29/Model!J18,"")</f>
        <v>-2.19065487308429</v>
      </c>
      <c r="K1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8" min="3" style="0" width="12"/>
  </cols>
  <sheetData>
    <row r="1" customFormat="false" ht="17.35" hidden="false" customHeight="false" outlineLevel="0" collapsed="false">
      <c r="A1" s="13" t="s">
        <v>275</v>
      </c>
    </row>
    <row r="2" customFormat="false" ht="15" hidden="false" customHeight="false" outlineLevel="0" collapsed="false">
      <c r="A2" s="3" t="s">
        <v>276</v>
      </c>
    </row>
    <row r="4" customFormat="false" ht="26.85" hidden="false" customHeight="false" outlineLevel="0" collapsed="false">
      <c r="A4" s="16" t="s">
        <v>277</v>
      </c>
      <c r="B4" s="17" t="s">
        <v>278</v>
      </c>
      <c r="C4" s="17" t="s">
        <v>279</v>
      </c>
      <c r="D4" s="17" t="s">
        <v>280</v>
      </c>
      <c r="E4" s="17" t="s">
        <v>281</v>
      </c>
      <c r="F4" s="17" t="s">
        <v>282</v>
      </c>
      <c r="G4" s="17" t="s">
        <v>283</v>
      </c>
      <c r="H4" s="17" t="s">
        <v>284</v>
      </c>
    </row>
    <row r="5" customFormat="false" ht="15" hidden="false" customHeight="false" outlineLevel="0" collapsed="false">
      <c r="A5" s="55" t="s">
        <v>285</v>
      </c>
      <c r="B5" s="55" t="s">
        <v>286</v>
      </c>
      <c r="C5" s="56" t="n">
        <v>30.21</v>
      </c>
      <c r="D5" s="56" t="n">
        <v>12.6</v>
      </c>
      <c r="E5" s="56" t="n">
        <v>12.8</v>
      </c>
      <c r="F5" s="56" t="n">
        <v>13.7</v>
      </c>
      <c r="G5" s="56" t="n">
        <v>1728</v>
      </c>
      <c r="H5" s="55" t="s">
        <v>287</v>
      </c>
    </row>
    <row r="6" customFormat="false" ht="15" hidden="false" customHeight="false" outlineLevel="0" collapsed="false">
      <c r="A6" s="57" t="s">
        <v>288</v>
      </c>
      <c r="B6" s="57" t="s">
        <v>289</v>
      </c>
      <c r="C6" s="58" t="n">
        <v>175.69</v>
      </c>
      <c r="D6" s="58" t="n">
        <v>88.2</v>
      </c>
      <c r="E6" s="58" t="n">
        <v>14.3</v>
      </c>
      <c r="F6" s="58" t="n">
        <v>10.3</v>
      </c>
      <c r="G6" s="58" t="n">
        <v>1459</v>
      </c>
      <c r="H6" s="57" t="s">
        <v>290</v>
      </c>
    </row>
    <row r="7" customFormat="false" ht="15" hidden="false" customHeight="false" outlineLevel="0" collapsed="false">
      <c r="A7" s="57" t="s">
        <v>291</v>
      </c>
      <c r="B7" s="57" t="s">
        <v>292</v>
      </c>
      <c r="C7" s="58" t="n">
        <v>22.45</v>
      </c>
      <c r="D7" s="58" t="n">
        <v>26.6</v>
      </c>
      <c r="E7" s="58" t="n">
        <v>7.9</v>
      </c>
      <c r="F7" s="58" t="n">
        <v>5.8</v>
      </c>
      <c r="G7" s="58" t="n">
        <v>1821</v>
      </c>
      <c r="H7" s="57" t="s">
        <v>293</v>
      </c>
    </row>
    <row r="9" customFormat="false" ht="15" hidden="false" customHeight="false" outlineLevel="0" collapsed="false">
      <c r="A9" s="3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3" t="s">
        <v>295</v>
      </c>
    </row>
    <row r="2" customFormat="false" ht="15" hidden="false" customHeight="false" outlineLevel="0" collapsed="false">
      <c r="A2" s="3" t="s">
        <v>296</v>
      </c>
    </row>
    <row r="4" customFormat="false" ht="15" hidden="false" customHeight="false" outlineLevel="0" collapsed="false">
      <c r="A4" s="16" t="s">
        <v>297</v>
      </c>
      <c r="B4" s="17" t="s">
        <v>21</v>
      </c>
      <c r="C4" s="17" t="s">
        <v>298</v>
      </c>
      <c r="D4" s="17" t="s">
        <v>299</v>
      </c>
    </row>
    <row r="5" customFormat="false" ht="15" hidden="false" customHeight="false" outlineLevel="0" collapsed="false">
      <c r="A5" s="12" t="s">
        <v>300</v>
      </c>
      <c r="B5" s="59" t="n">
        <f aca="false">Valuation!$B$34</f>
        <v>39</v>
      </c>
      <c r="C5" s="60" t="n">
        <v>39</v>
      </c>
      <c r="D5" s="61" t="b">
        <f aca="false">ABS(B5-C5)&lt;=MAX(0.01,ABS(C5)*0.005)</f>
        <v>1</v>
      </c>
    </row>
    <row r="6" customFormat="false" ht="15" hidden="false" customHeight="false" outlineLevel="0" collapsed="false">
      <c r="A6" s="12" t="s">
        <v>301</v>
      </c>
      <c r="B6" s="59" t="str">
        <f aca="false">Valuation!$B$39</f>
        <v>Buy</v>
      </c>
      <c r="C6" s="60" t="s">
        <v>302</v>
      </c>
      <c r="D6" s="61" t="b">
        <f aca="false">B6=C6</f>
        <v>1</v>
      </c>
    </row>
    <row r="7" customFormat="false" ht="15" hidden="false" customHeight="false" outlineLevel="0" collapsed="false">
      <c r="A7" s="12" t="s">
        <v>303</v>
      </c>
      <c r="B7" s="59" t="n">
        <f aca="false">NAV!$B$18</f>
        <v>42.3530845644591</v>
      </c>
      <c r="C7" s="60" t="n">
        <v>42.35</v>
      </c>
      <c r="D7" s="61" t="b">
        <f aca="false">ABS(B7-C7)&lt;=MAX(0.01,ABS(C7)*0.005)</f>
        <v>1</v>
      </c>
    </row>
    <row r="8" customFormat="false" ht="15" hidden="false" customHeight="false" outlineLevel="0" collapsed="false">
      <c r="A8" s="12" t="s">
        <v>304</v>
      </c>
      <c r="B8" s="59" t="n">
        <f aca="false">Model!$F$15</f>
        <v>2.21800854037267</v>
      </c>
      <c r="C8" s="60" t="n">
        <v>2.22</v>
      </c>
      <c r="D8" s="61" t="b">
        <f aca="false">ABS(B8-C8)&lt;=MAX(0.01,ABS(C8)*0.005)</f>
        <v>1</v>
      </c>
    </row>
    <row r="9" customFormat="false" ht="15" hidden="false" customHeight="false" outlineLevel="0" collapsed="false">
      <c r="A9" s="12" t="s">
        <v>305</v>
      </c>
      <c r="B9" s="59" t="n">
        <f aca="false">Model!$G$19</f>
        <v>3.49737219302437</v>
      </c>
      <c r="C9" s="60" t="n">
        <v>3.5</v>
      </c>
      <c r="D9" s="61" t="b">
        <f aca="false">ABS(B9-C9)&lt;=MAX(0.01,ABS(C9)*0.005)</f>
        <v>1</v>
      </c>
    </row>
    <row r="10" customFormat="false" ht="15" hidden="false" customHeight="false" outlineLevel="0" collapsed="false">
      <c r="A10" s="12" t="s">
        <v>306</v>
      </c>
      <c r="B10" s="59" t="n">
        <f aca="false">Model!$H$23</f>
        <v>934.875</v>
      </c>
      <c r="C10" s="60" t="n">
        <v>934.88</v>
      </c>
      <c r="D10" s="61" t="b">
        <f aca="false">ABS(B10-C10)&lt;=MAX(0.01,ABS(C10)*0.005)</f>
        <v>1</v>
      </c>
    </row>
    <row r="12" customFormat="false" ht="15" hidden="false" customHeight="false" outlineLevel="0" collapsed="false">
      <c r="A12" s="4" t="s">
        <v>307</v>
      </c>
      <c r="D12" s="62" t="b">
        <f aca="false">AND(D5:D10)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3" t="s">
        <v>308</v>
      </c>
    </row>
    <row r="2" customFormat="false" ht="15" hidden="false" customHeight="false" outlineLevel="0" collapsed="false">
      <c r="A2" s="3" t="s">
        <v>309</v>
      </c>
    </row>
    <row r="4" customFormat="false" ht="15" hidden="false" customHeight="false" outlineLevel="0" collapsed="false">
      <c r="A4" s="16" t="s">
        <v>310</v>
      </c>
      <c r="B4" s="17" t="s">
        <v>311</v>
      </c>
      <c r="C4" s="17" t="s">
        <v>312</v>
      </c>
      <c r="D4" s="17" t="s">
        <v>313</v>
      </c>
    </row>
    <row r="5" customFormat="false" ht="15" hidden="false" customHeight="false" outlineLevel="0" collapsed="false">
      <c r="A5" s="8" t="s">
        <v>314</v>
      </c>
      <c r="B5" s="8" t="s">
        <v>315</v>
      </c>
      <c r="C5" s="8" t="s">
        <v>316</v>
      </c>
      <c r="D5" s="8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2026-10-27T23:56:41Z</dcterms:created>
  <dc:creator>openpyxl</dc:creator>
  <dc:description/>
  <dc:language>en-US</dc:language>
  <cp:lastModifiedBy/>
  <dcterms:modified xsi:type="dcterms:W3CDTF">2026-10-27T23:56:41Z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